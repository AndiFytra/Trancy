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Work\Trancy\"/>
    </mc:Choice>
  </mc:AlternateContent>
  <xr:revisionPtr revIDLastSave="0" documentId="8_{9446B8F8-616F-41AE-AE24-94B42B24D33D}" xr6:coauthVersionLast="47" xr6:coauthVersionMax="47" xr10:uidLastSave="{00000000-0000-0000-0000-000000000000}"/>
  <bookViews>
    <workbookView xWindow="3810" yWindow="675" windowWidth="16845" windowHeight="18975" xr2:uid="{00000000-000D-0000-FFFF-FFFF00000000}"/>
  </bookViews>
  <sheets>
    <sheet name="Balance Line Report" sheetId="6" r:id="rId1"/>
    <sheet name="Filters" sheetId="4" state="veryHidden" r:id="rId2"/>
    <sheet name="GroupBys" sheetId="7" state="veryHidden" r:id="rId3"/>
  </sheets>
  <definedNames>
    <definedName name="_xlnm.Print_Titles" localSheetId="0">'Balance Line Report'!$1:$21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1" i="6" l="1"/>
  <c r="M51" i="6"/>
  <c r="H51" i="6"/>
  <c r="Q49" i="6"/>
  <c r="O49" i="6"/>
  <c r="I49" i="6"/>
  <c r="Q48" i="6"/>
  <c r="O48" i="6"/>
  <c r="I48" i="6"/>
  <c r="Q47" i="6"/>
  <c r="O47" i="6"/>
  <c r="I47" i="6"/>
  <c r="Q46" i="6"/>
  <c r="O46" i="6"/>
  <c r="I46" i="6"/>
  <c r="Q43" i="6"/>
  <c r="M43" i="6"/>
  <c r="H43" i="6"/>
  <c r="Q41" i="6"/>
  <c r="O41" i="6"/>
  <c r="I41" i="6"/>
  <c r="Q40" i="6"/>
  <c r="O40" i="6"/>
  <c r="I40" i="6"/>
  <c r="Q39" i="6"/>
  <c r="O39" i="6"/>
  <c r="I39" i="6"/>
  <c r="Q36" i="6"/>
  <c r="M36" i="6"/>
  <c r="H36" i="6"/>
  <c r="Q34" i="6"/>
  <c r="O34" i="6"/>
  <c r="I34" i="6"/>
  <c r="Q33" i="6"/>
  <c r="O33" i="6"/>
  <c r="I33" i="6"/>
  <c r="Q32" i="6"/>
  <c r="O32" i="6"/>
  <c r="I32" i="6"/>
  <c r="Q31" i="6"/>
  <c r="O31" i="6"/>
  <c r="I31" i="6"/>
  <c r="Q30" i="6"/>
  <c r="O30" i="6"/>
  <c r="I30" i="6"/>
  <c r="Q29" i="6"/>
  <c r="O29" i="6"/>
  <c r="I29" i="6"/>
  <c r="Q28" i="6"/>
  <c r="O28" i="6"/>
  <c r="I28" i="6"/>
  <c r="Q27" i="6"/>
  <c r="O27" i="6"/>
  <c r="I27" i="6"/>
  <c r="Q26" i="6"/>
  <c r="O26" i="6"/>
  <c r="I26" i="6"/>
  <c r="Q25" i="6"/>
  <c r="O25" i="6"/>
  <c r="I25" i="6"/>
  <c r="Q24" i="6"/>
  <c r="O24" i="6"/>
  <c r="I24" i="6"/>
  <c r="Q23" i="6"/>
  <c r="O23" i="6"/>
  <c r="I23" i="6"/>
  <c r="Q22" i="6"/>
  <c r="O22" i="6"/>
  <c r="I22" i="6"/>
  <c r="B3" i="6"/>
</calcChain>
</file>

<file path=xl/sharedStrings.xml><?xml version="1.0" encoding="utf-8"?>
<sst xmlns="http://schemas.openxmlformats.org/spreadsheetml/2006/main" count="320" uniqueCount="175">
  <si>
    <t>Type</t>
  </si>
  <si>
    <t>#End</t>
  </si>
  <si>
    <t>Balance Line Report</t>
  </si>
  <si>
    <t>EXCHANGE RATE</t>
  </si>
  <si>
    <t>CONTAINERS</t>
  </si>
  <si>
    <t>WEIGHT</t>
  </si>
  <si>
    <t>VOLUME</t>
  </si>
  <si>
    <t>PACKAGES</t>
  </si>
  <si>
    <t>COMMODITY</t>
  </si>
  <si>
    <t>VESSEL/VOYAGE</t>
  </si>
  <si>
    <t>ORIGIN</t>
  </si>
  <si>
    <t>DESTINATION</t>
  </si>
  <si>
    <t>PORT OF DISCHARGE</t>
  </si>
  <si>
    <t>CONSOLIDATION NO</t>
  </si>
  <si>
    <t>SHIPMENT NO</t>
  </si>
  <si>
    <t>Charge Group</t>
  </si>
  <si>
    <t>#end</t>
  </si>
  <si>
    <t>ReportData.DebtorCode, ChargeGroup,</t>
  </si>
  <si>
    <t>Shipment No</t>
  </si>
  <si>
    <t>Shipment Lookup</t>
  </si>
  <si>
    <t>CONSIGNEE</t>
  </si>
  <si>
    <t>Required</t>
  </si>
  <si>
    <t>INVOICE NUMBER</t>
  </si>
  <si>
    <t>REMARKS</t>
  </si>
  <si>
    <t>SHIPPER</t>
  </si>
  <si>
    <t>Place Of Delivery</t>
  </si>
  <si>
    <t>STA</t>
  </si>
  <si>
    <t>STD</t>
  </si>
  <si>
    <t>SALES</t>
  </si>
  <si>
    <t>[Debtor]</t>
  </si>
  <si>
    <t>COST</t>
  </si>
  <si>
    <t>Sub Total(in JPY) =</t>
  </si>
  <si>
    <t>Profit</t>
  </si>
  <si>
    <t>Sub Total =</t>
  </si>
  <si>
    <t>Japan Transcity Corporation (NRT)</t>
  </si>
  <si>
    <t>SUMITOMO WIRING SYSTEMS LTD.</t>
  </si>
  <si>
    <t>SUMITOMO ELECTRIC WIRING SYSTEMS (THAILAND), LIMITED.</t>
  </si>
  <si>
    <t>C00001402</t>
  </si>
  <si>
    <t>S00001576</t>
  </si>
  <si>
    <t>A/A</t>
  </si>
  <si>
    <t>JPYKK - Yokkaichi</t>
  </si>
  <si>
    <t>THLCH - Laem Chabang</t>
  </si>
  <si>
    <t>1 * 40HC</t>
  </si>
  <si>
    <t>9,310.00 KG</t>
  </si>
  <si>
    <t>18.63 M3</t>
  </si>
  <si>
    <t>14.00 PLT</t>
  </si>
  <si>
    <t>MATERIAL FOR WIRE PRODUCTION</t>
  </si>
  <si>
    <t>THB : JPY 4.26</t>
  </si>
  <si>
    <t>USD : JPY 145.57</t>
  </si>
  <si>
    <t>AAA</t>
  </si>
  <si>
    <t>J/SEWT-HF2306</t>
  </si>
  <si>
    <t>Group</t>
  </si>
  <si>
    <t>Charge</t>
  </si>
  <si>
    <t>Description</t>
  </si>
  <si>
    <t>Quantity</t>
  </si>
  <si>
    <t>Unit Price</t>
  </si>
  <si>
    <t>Amount</t>
  </si>
  <si>
    <t>Amount Local</t>
  </si>
  <si>
    <t>TAX ID</t>
  </si>
  <si>
    <t>Amount (JPY)</t>
  </si>
  <si>
    <t>[SUMITOMO WIRING SYSTEMS LTD.]</t>
  </si>
  <si>
    <t>[]</t>
  </si>
  <si>
    <t>Job Invoice : S00001576</t>
  </si>
  <si>
    <t>DST</t>
  </si>
  <si>
    <t>3PAQC3</t>
  </si>
  <si>
    <t xml:space="preserve">#CONTAINER HAULAGE(40HC) </t>
  </si>
  <si>
    <t xml:space="preserve">1 Custom </t>
  </si>
  <si>
    <t xml:space="preserve">X THB 4200.00 </t>
  </si>
  <si>
    <t>THB  4,200.00</t>
  </si>
  <si>
    <t>NOTREPORT</t>
  </si>
  <si>
    <t xml:space="preserve">1 Custom X </t>
  </si>
  <si>
    <t xml:space="preserve">THB 4200.00 </t>
  </si>
  <si>
    <t>THB  0.00</t>
  </si>
  <si>
    <t>3PBAC3</t>
  </si>
  <si>
    <t xml:space="preserve">#COORDINATION FEE(40HC) </t>
  </si>
  <si>
    <t xml:space="preserve">1 40HC Container(s) </t>
  </si>
  <si>
    <t xml:space="preserve">X THB 900.00 </t>
  </si>
  <si>
    <t>THB  900.00</t>
  </si>
  <si>
    <t xml:space="preserve">1 40HC Container(s) X </t>
  </si>
  <si>
    <t xml:space="preserve">THB 900.00 </t>
  </si>
  <si>
    <t>3PBEC3</t>
  </si>
  <si>
    <t xml:space="preserve">#CUSTOMS FORMALITY(40HC) </t>
  </si>
  <si>
    <t xml:space="preserve">X THB 5400.00 </t>
  </si>
  <si>
    <t>THB  5,400.00</t>
  </si>
  <si>
    <t xml:space="preserve">THB 5400.00 </t>
  </si>
  <si>
    <t>3PEQB3</t>
  </si>
  <si>
    <t xml:space="preserve">#D/O FEE(ENTRY) </t>
  </si>
  <si>
    <t xml:space="preserve">X  </t>
  </si>
  <si>
    <t>THB  1,500.00</t>
  </si>
  <si>
    <t>3PBJC3</t>
  </si>
  <si>
    <t xml:space="preserve">#DROP OFF CHARGE(40HC) </t>
  </si>
  <si>
    <t xml:space="preserve">X THB 1070.00 </t>
  </si>
  <si>
    <t>THB  1,070.00</t>
  </si>
  <si>
    <t xml:space="preserve">THB 1070.00 </t>
  </si>
  <si>
    <t>3PBPC3</t>
  </si>
  <si>
    <t xml:space="preserve">#FUEL SURC.(40HC) </t>
  </si>
  <si>
    <t xml:space="preserve">X THB 382.00 </t>
  </si>
  <si>
    <t>THB  382.00</t>
  </si>
  <si>
    <t xml:space="preserve">THB 382.00 </t>
  </si>
  <si>
    <t>3PBRC3</t>
  </si>
  <si>
    <t xml:space="preserve">#GATE &amp; SCALE CHARGE(40HC) </t>
  </si>
  <si>
    <t xml:space="preserve">X THB 130.00 </t>
  </si>
  <si>
    <t>THB  130.00</t>
  </si>
  <si>
    <t xml:space="preserve">THB 130.00 </t>
  </si>
  <si>
    <t>3PBSC3</t>
  </si>
  <si>
    <t xml:space="preserve">#GATE CHARGE(40HC) </t>
  </si>
  <si>
    <t xml:space="preserve">X THB 300.00 </t>
  </si>
  <si>
    <t>THB  300.00</t>
  </si>
  <si>
    <t xml:space="preserve">THB 300.00 </t>
  </si>
  <si>
    <t>3PBTF3</t>
  </si>
  <si>
    <t xml:space="preserve">#HANDLING CHARGE(SHIPMENT) </t>
  </si>
  <si>
    <t xml:space="preserve">X USD 50.00 </t>
  </si>
  <si>
    <t>USD  50.00</t>
  </si>
  <si>
    <t xml:space="preserve">USD 50.00 </t>
  </si>
  <si>
    <t>USD  0.00</t>
  </si>
  <si>
    <t>3PCJC3</t>
  </si>
  <si>
    <t xml:space="preserve">#PORT RENT CHARGE(40HC) </t>
  </si>
  <si>
    <t>3PCRC3</t>
  </si>
  <si>
    <t xml:space="preserve">#THC(40HC) </t>
  </si>
  <si>
    <t xml:space="preserve">X THB 4300.00 </t>
  </si>
  <si>
    <t>THB  4,300.00</t>
  </si>
  <si>
    <t xml:space="preserve">THB 4300.00 </t>
  </si>
  <si>
    <t>3PACD3</t>
  </si>
  <si>
    <t xml:space="preserve">#VAT(%) </t>
  </si>
  <si>
    <t>THB  441.00</t>
  </si>
  <si>
    <t xml:space="preserve"> X </t>
  </si>
  <si>
    <t>3P3</t>
  </si>
  <si>
    <t>#OTHERS(OVERSEAS)</t>
  </si>
  <si>
    <t>JPY  0.00</t>
  </si>
  <si>
    <t>JPY 0.00</t>
  </si>
  <si>
    <t>JPY 91,171.00</t>
  </si>
  <si>
    <t>[TRANCY LOGISTICS (THAILAND) CO.,LTD.]</t>
  </si>
  <si>
    <t>FRT</t>
  </si>
  <si>
    <t>2OAFC4</t>
  </si>
  <si>
    <t>AGENT FEE(40HC)</t>
  </si>
  <si>
    <t>FREECON</t>
  </si>
  <si>
    <t>2OH1C4</t>
  </si>
  <si>
    <t xml:space="preserve">FAF/BAF(40HC) </t>
  </si>
  <si>
    <t>USD  100.00</t>
  </si>
  <si>
    <t>2OA1C4</t>
  </si>
  <si>
    <t xml:space="preserve">OCEAN FREIGHT(40HC) </t>
  </si>
  <si>
    <t xml:space="preserve">X USD 450.00 </t>
  </si>
  <si>
    <t>USD  450.00</t>
  </si>
  <si>
    <t xml:space="preserve">USD 450.00 </t>
  </si>
  <si>
    <t>USD  200.00</t>
  </si>
  <si>
    <t>JPY 80,064.00</t>
  </si>
  <si>
    <t>JPY 43,671.00</t>
  </si>
  <si>
    <t>[ONE LINE]</t>
  </si>
  <si>
    <t>ORG</t>
  </si>
  <si>
    <t>1N0CC4</t>
  </si>
  <si>
    <t xml:space="preserve">THC(40HC) </t>
  </si>
  <si>
    <t xml:space="preserve">X JPY 50000.00 </t>
  </si>
  <si>
    <t>JPY  50,000.00</t>
  </si>
  <si>
    <t xml:space="preserve">JPY 50000.00 </t>
  </si>
  <si>
    <t>1N0AC4</t>
  </si>
  <si>
    <t xml:space="preserve">CONTAINER SEAL FEE(40HC) </t>
  </si>
  <si>
    <t xml:space="preserve">X JPY 900.00 </t>
  </si>
  <si>
    <t>JPY  900.00</t>
  </si>
  <si>
    <t xml:space="preserve">JPY 900.00 </t>
  </si>
  <si>
    <t>1N0HA1</t>
  </si>
  <si>
    <t xml:space="preserve">DOC FEE(BL) </t>
  </si>
  <si>
    <t xml:space="preserve">1 House Bill(s) </t>
  </si>
  <si>
    <t xml:space="preserve">X JPY 3700.00 </t>
  </si>
  <si>
    <t>JPY  3,700.00</t>
  </si>
  <si>
    <t>CON</t>
  </si>
  <si>
    <t xml:space="preserve">1 House Bill(s) X </t>
  </si>
  <si>
    <t xml:space="preserve">JPY 3700.00 </t>
  </si>
  <si>
    <t>1N0PA1</t>
  </si>
  <si>
    <t xml:space="preserve">STAMP CHARGE(BL) </t>
  </si>
  <si>
    <t xml:space="preserve">X JPY 200.00 </t>
  </si>
  <si>
    <t>JPY  200.00</t>
  </si>
  <si>
    <t xml:space="preserve">JPY 200.00 </t>
  </si>
  <si>
    <t>JPY 54,800.00</t>
  </si>
  <si>
    <t>JPY 54,600.00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</si>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</sst>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92" formatCode="[$-409]d\-mmm\-yy;@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b/>
      <u/>
      <sz val="8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0070C0"/>
      <name val="Arial"/>
      <family val="2"/>
    </font>
    <font>
      <b/>
      <sz val="10"/>
      <color rgb="FF0070C0"/>
      <name val="Arial"/>
      <family val="2"/>
    </font>
    <font>
      <b/>
      <sz val="14"/>
      <color rgb="FF0070C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0" tint="-4.9989318521683403E-2"/>
        <bgColor auto="1"/>
      </patternFill>
    </fill>
    <fill>
      <patternFill patternType="solid">
        <fgColor theme="0" tint="-0.14996795556505021"/>
        <bgColor auto="1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16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4" fillId="0" borderId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4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10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 vertical="top"/>
    </xf>
    <xf numFmtId="0" fontId="5" fillId="25" borderId="20" xfId="0" applyFont="1" applyFill="1" applyBorder="1" applyAlignment="1">
      <alignment horizontal="left"/>
    </xf>
    <xf numFmtId="0" fontId="2" fillId="0" borderId="10" xfId="0" applyFont="1" applyBorder="1" applyAlignment="1">
      <alignment horizontal="left" vertical="top"/>
    </xf>
    <xf numFmtId="0" fontId="5" fillId="25" borderId="10" xfId="0" applyFont="1" applyFill="1" applyBorder="1" applyAlignment="1">
      <alignment horizontal="left"/>
    </xf>
    <xf numFmtId="0" fontId="2" fillId="0" borderId="19" xfId="0" applyFont="1" applyBorder="1" applyAlignment="1">
      <alignment horizontal="left" vertical="top"/>
    </xf>
    <xf numFmtId="0" fontId="5" fillId="25" borderId="19" xfId="0" applyFont="1" applyFill="1" applyBorder="1" applyAlignment="1">
      <alignment horizontal="left"/>
    </xf>
    <xf numFmtId="0" fontId="7" fillId="25" borderId="20" xfId="0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7" fillId="25" borderId="19" xfId="0" applyFont="1" applyFill="1" applyBorder="1" applyAlignment="1">
      <alignment horizontal="center"/>
    </xf>
    <xf numFmtId="0" fontId="2" fillId="0" borderId="16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centerContinuous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30" fillId="0" borderId="0" xfId="0" applyFont="1" applyAlignment="1">
      <alignment horizontal="left" vertical="top"/>
    </xf>
    <xf numFmtId="0" fontId="31" fillId="0" borderId="0" xfId="0" applyFont="1" applyAlignment="1">
      <alignment horizontal="centerContinuous"/>
    </xf>
    <xf numFmtId="0" fontId="32" fillId="0" borderId="0" xfId="0" applyFont="1" applyAlignment="1">
      <alignment horizontal="centerContinuous"/>
    </xf>
    <xf numFmtId="0" fontId="31" fillId="0" borderId="0" xfId="0" applyFont="1"/>
    <xf numFmtId="0" fontId="30" fillId="0" borderId="0" xfId="0" applyFont="1"/>
    <xf numFmtId="0" fontId="30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9" fillId="0" borderId="0" xfId="189" applyAlignment="1">
      <alignment vertical="top"/>
    </xf>
    <xf numFmtId="0" fontId="2" fillId="0" borderId="0" xfId="0" applyFont="1" applyAlignment="1">
      <alignment horizontal="left" vertical="top"/>
    </xf>
    <xf numFmtId="0" fontId="5" fillId="0" borderId="0" xfId="0" applyFont="1"/>
    <xf numFmtId="0" fontId="2" fillId="0" borderId="0" xfId="0" applyFont="1" applyAlignment="1">
      <alignment horizontal="left" vertical="top" wrapText="1"/>
    </xf>
    <xf numFmtId="192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left"/>
    </xf>
    <xf numFmtId="43" fontId="6" fillId="0" borderId="0" xfId="136" applyFont="1" applyBorder="1" applyAlignment="1">
      <alignment horizontal="centerContinuous"/>
    </xf>
    <xf numFmtId="43" fontId="3" fillId="0" borderId="0" xfId="136" applyFont="1" applyBorder="1" applyAlignment="1"/>
    <xf numFmtId="43" fontId="7" fillId="0" borderId="0" xfId="136" applyFont="1" applyFill="1" applyBorder="1" applyAlignment="1">
      <alignment horizontal="centerContinuous"/>
    </xf>
    <xf numFmtId="43" fontId="2" fillId="0" borderId="0" xfId="136" applyFont="1" applyAlignment="1">
      <alignment horizontal="left" vertical="top" wrapText="1"/>
    </xf>
    <xf numFmtId="43" fontId="4" fillId="0" borderId="0" xfId="136" applyFont="1" applyAlignment="1"/>
    <xf numFmtId="43" fontId="4" fillId="0" borderId="0" xfId="136" applyFont="1" applyFill="1" applyBorder="1" applyAlignment="1"/>
    <xf numFmtId="14" fontId="4" fillId="0" borderId="0" xfId="0" applyNumberFormat="1" applyFont="1"/>
    <xf numFmtId="0" fontId="7" fillId="0" borderId="0" xfId="0" applyFont="1"/>
    <xf numFmtId="0" fontId="2" fillId="0" borderId="0" xfId="0" applyFont="1"/>
    <xf numFmtId="4" fontId="5" fillId="0" borderId="0" xfId="0" applyNumberFormat="1" applyFont="1"/>
    <xf numFmtId="14" fontId="2" fillId="0" borderId="0" xfId="0" applyNumberFormat="1" applyFont="1"/>
    <xf numFmtId="0" fontId="2" fillId="0" borderId="10" xfId="0" applyFont="1" applyBorder="1" applyAlignment="1">
      <alignment vertical="top"/>
    </xf>
    <xf numFmtId="0" fontId="26" fillId="24" borderId="11" xfId="0" applyFont="1" applyFill="1" applyBorder="1" applyAlignment="1">
      <alignment horizontal="center" vertical="center"/>
    </xf>
    <xf numFmtId="0" fontId="26" fillId="24" borderId="12" xfId="0" applyFont="1" applyFill="1" applyBorder="1" applyAlignment="1">
      <alignment horizontal="center" vertical="center"/>
    </xf>
    <xf numFmtId="0" fontId="5" fillId="25" borderId="13" xfId="0" applyFont="1" applyFill="1" applyBorder="1"/>
    <xf numFmtId="0" fontId="2" fillId="0" borderId="13" xfId="0" applyFont="1" applyBorder="1"/>
    <xf numFmtId="0" fontId="28" fillId="24" borderId="0" xfId="0" applyFont="1" applyFill="1" applyAlignment="1">
      <alignment horizontal="center" vertical="center"/>
    </xf>
    <xf numFmtId="0" fontId="28" fillId="24" borderId="14" xfId="0" applyFont="1" applyFill="1" applyBorder="1" applyAlignment="1">
      <alignment horizontal="left" vertical="top"/>
    </xf>
    <xf numFmtId="0" fontId="27" fillId="24" borderId="15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7" fillId="24" borderId="16" xfId="0" applyFont="1" applyFill="1" applyBorder="1" applyAlignment="1">
      <alignment horizontal="left" vertical="top"/>
    </xf>
    <xf numFmtId="4" fontId="2" fillId="0" borderId="10" xfId="0" applyNumberFormat="1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43" fontId="2" fillId="0" borderId="0" xfId="136" applyFont="1" applyBorder="1" applyAlignment="1">
      <alignment horizontal="left" vertical="top" wrapText="1"/>
    </xf>
    <xf numFmtId="0" fontId="0" fillId="0" borderId="17" xfId="0" applyBorder="1"/>
    <xf numFmtId="0" fontId="2" fillId="0" borderId="16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vertical="top"/>
    </xf>
    <xf numFmtId="192" fontId="2" fillId="0" borderId="15" xfId="0" applyNumberFormat="1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horizontal="left" vertical="top" wrapText="1"/>
    </xf>
    <xf numFmtId="0" fontId="5" fillId="0" borderId="14" xfId="0" applyFont="1" applyBorder="1" applyAlignment="1">
      <alignment horizontal="left" vertical="top"/>
    </xf>
    <xf numFmtId="0" fontId="28" fillId="24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top"/>
    </xf>
    <xf numFmtId="4" fontId="2" fillId="0" borderId="15" xfId="0" applyNumberFormat="1" applyFont="1" applyBorder="1" applyAlignment="1">
      <alignment horizontal="left" vertical="top" wrapText="1"/>
    </xf>
    <xf numFmtId="0" fontId="5" fillId="25" borderId="13" xfId="0" applyFont="1" applyFill="1" applyBorder="1" applyAlignment="1">
      <alignment horizontal="left"/>
    </xf>
    <xf numFmtId="0" fontId="7" fillId="25" borderId="13" xfId="0" applyFont="1" applyFill="1" applyBorder="1" applyAlignment="1">
      <alignment horizontal="left"/>
    </xf>
    <xf numFmtId="0" fontId="27" fillId="24" borderId="15" xfId="0" applyFont="1" applyFill="1" applyBorder="1" applyAlignment="1">
      <alignment horizontal="center" vertical="top"/>
    </xf>
    <xf numFmtId="0" fontId="26" fillId="24" borderId="12" xfId="0" applyFont="1" applyFill="1" applyBorder="1" applyAlignment="1">
      <alignment horizontal="center" vertical="center"/>
    </xf>
    <xf numFmtId="4" fontId="2" fillId="0" borderId="15" xfId="0" applyNumberFormat="1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4" fontId="2" fillId="0" borderId="0" xfId="0" applyNumberFormat="1" applyFont="1" applyAlignment="1">
      <alignment horizontal="left" vertical="top" wrapText="1"/>
    </xf>
    <xf numFmtId="4" fontId="2" fillId="0" borderId="17" xfId="0" applyNumberFormat="1" applyFont="1" applyBorder="1" applyAlignment="1">
      <alignment horizontal="left" vertical="top" wrapText="1"/>
    </xf>
  </cellXfs>
  <cellStyles count="216">
    <cellStyle name="20% - Accent1 2" xfId="1" xr:uid="{00000000-0005-0000-0000-000001000000}"/>
    <cellStyle name="20% - Accent1 3" xfId="2" xr:uid="{00000000-0005-0000-0000-000002000000}"/>
    <cellStyle name="20% - Accent1 4" xfId="3" xr:uid="{00000000-0005-0000-0000-000003000000}"/>
    <cellStyle name="20% - Accent1 5" xfId="4" xr:uid="{00000000-0005-0000-0000-000004000000}"/>
    <cellStyle name="20% - Accent1 6" xfId="5" xr:uid="{00000000-0005-0000-0000-000005000000}"/>
    <cellStyle name="20% - Accent2 2" xfId="6" xr:uid="{00000000-0005-0000-0000-000007000000}"/>
    <cellStyle name="20% - Accent2 3" xfId="7" xr:uid="{00000000-0005-0000-0000-000008000000}"/>
    <cellStyle name="20% - Accent2 4" xfId="8" xr:uid="{00000000-0005-0000-0000-000009000000}"/>
    <cellStyle name="20% - Accent2 5" xfId="9" xr:uid="{00000000-0005-0000-0000-00000A000000}"/>
    <cellStyle name="20% - Accent2 6" xfId="10" xr:uid="{00000000-0005-0000-0000-00000B000000}"/>
    <cellStyle name="20% - Accent3 2" xfId="11" xr:uid="{00000000-0005-0000-0000-00000D000000}"/>
    <cellStyle name="20% - Accent3 3" xfId="12" xr:uid="{00000000-0005-0000-0000-00000E000000}"/>
    <cellStyle name="20% - Accent3 4" xfId="13" xr:uid="{00000000-0005-0000-0000-00000F000000}"/>
    <cellStyle name="20% - Accent3 5" xfId="14" xr:uid="{00000000-0005-0000-0000-000010000000}"/>
    <cellStyle name="20% - Accent3 6" xfId="15" xr:uid="{00000000-0005-0000-0000-000011000000}"/>
    <cellStyle name="20% - Accent4 2" xfId="16" xr:uid="{00000000-0005-0000-0000-000013000000}"/>
    <cellStyle name="20% - Accent4 3" xfId="17" xr:uid="{00000000-0005-0000-0000-000014000000}"/>
    <cellStyle name="20% - Accent4 4" xfId="18" xr:uid="{00000000-0005-0000-0000-000015000000}"/>
    <cellStyle name="20% - Accent4 5" xfId="19" xr:uid="{00000000-0005-0000-0000-000016000000}"/>
    <cellStyle name="20% - Accent4 6" xfId="20" xr:uid="{00000000-0005-0000-0000-000017000000}"/>
    <cellStyle name="20% - Accent5 2" xfId="21" xr:uid="{00000000-0005-0000-0000-000019000000}"/>
    <cellStyle name="20% - Accent5 3" xfId="22" xr:uid="{00000000-0005-0000-0000-00001A000000}"/>
    <cellStyle name="20% - Accent5 4" xfId="23" xr:uid="{00000000-0005-0000-0000-00001B000000}"/>
    <cellStyle name="20% - Accent5 5" xfId="24" xr:uid="{00000000-0005-0000-0000-00001C000000}"/>
    <cellStyle name="20% - Accent5 6" xfId="25" xr:uid="{00000000-0005-0000-0000-00001D000000}"/>
    <cellStyle name="20% - Accent6 2" xfId="26" xr:uid="{00000000-0005-0000-0000-00001F000000}"/>
    <cellStyle name="20% - Accent6 3" xfId="27" xr:uid="{00000000-0005-0000-0000-000020000000}"/>
    <cellStyle name="20% - Accent6 4" xfId="28" xr:uid="{00000000-0005-0000-0000-000021000000}"/>
    <cellStyle name="20% - Accent6 5" xfId="29" xr:uid="{00000000-0005-0000-0000-000022000000}"/>
    <cellStyle name="20% - Accent6 6" xfId="30" xr:uid="{00000000-0005-0000-0000-000023000000}"/>
    <cellStyle name="40% - Accent1 2" xfId="31" xr:uid="{00000000-0005-0000-0000-000025000000}"/>
    <cellStyle name="40% - Accent1 3" xfId="32" xr:uid="{00000000-0005-0000-0000-000026000000}"/>
    <cellStyle name="40% - Accent1 4" xfId="33" xr:uid="{00000000-0005-0000-0000-000027000000}"/>
    <cellStyle name="40% - Accent1 5" xfId="34" xr:uid="{00000000-0005-0000-0000-000028000000}"/>
    <cellStyle name="40% - Accent1 6" xfId="35" xr:uid="{00000000-0005-0000-0000-000029000000}"/>
    <cellStyle name="40% - Accent2 2" xfId="36" xr:uid="{00000000-0005-0000-0000-00002B000000}"/>
    <cellStyle name="40% - Accent2 3" xfId="37" xr:uid="{00000000-0005-0000-0000-00002C000000}"/>
    <cellStyle name="40% - Accent2 4" xfId="38" xr:uid="{00000000-0005-0000-0000-00002D000000}"/>
    <cellStyle name="40% - Accent2 5" xfId="39" xr:uid="{00000000-0005-0000-0000-00002E000000}"/>
    <cellStyle name="40% - Accent2 6" xfId="40" xr:uid="{00000000-0005-0000-0000-00002F000000}"/>
    <cellStyle name="40% - Accent3 2" xfId="41" xr:uid="{00000000-0005-0000-0000-000031000000}"/>
    <cellStyle name="40% - Accent3 3" xfId="42" xr:uid="{00000000-0005-0000-0000-000032000000}"/>
    <cellStyle name="40% - Accent3 4" xfId="43" xr:uid="{00000000-0005-0000-0000-000033000000}"/>
    <cellStyle name="40% - Accent3 5" xfId="44" xr:uid="{00000000-0005-0000-0000-000034000000}"/>
    <cellStyle name="40% - Accent3 6" xfId="45" xr:uid="{00000000-0005-0000-0000-000035000000}"/>
    <cellStyle name="40% - Accent4 2" xfId="46" xr:uid="{00000000-0005-0000-0000-000037000000}"/>
    <cellStyle name="40% - Accent4 3" xfId="47" xr:uid="{00000000-0005-0000-0000-000038000000}"/>
    <cellStyle name="40% - Accent4 4" xfId="48" xr:uid="{00000000-0005-0000-0000-000039000000}"/>
    <cellStyle name="40% - Accent4 5" xfId="49" xr:uid="{00000000-0005-0000-0000-00003A000000}"/>
    <cellStyle name="40% - Accent4 6" xfId="50" xr:uid="{00000000-0005-0000-0000-00003B000000}"/>
    <cellStyle name="40% - Accent5 2" xfId="51" xr:uid="{00000000-0005-0000-0000-00003D000000}"/>
    <cellStyle name="40% - Accent5 3" xfId="52" xr:uid="{00000000-0005-0000-0000-00003E000000}"/>
    <cellStyle name="40% - Accent5 4" xfId="53" xr:uid="{00000000-0005-0000-0000-00003F000000}"/>
    <cellStyle name="40% - Accent5 5" xfId="54" xr:uid="{00000000-0005-0000-0000-000040000000}"/>
    <cellStyle name="40% - Accent5 6" xfId="55" xr:uid="{00000000-0005-0000-0000-000041000000}"/>
    <cellStyle name="40% - Accent6 2" xfId="56" xr:uid="{00000000-0005-0000-0000-000043000000}"/>
    <cellStyle name="40% - Accent6 3" xfId="57" xr:uid="{00000000-0005-0000-0000-000044000000}"/>
    <cellStyle name="40% - Accent6 4" xfId="58" xr:uid="{00000000-0005-0000-0000-000045000000}"/>
    <cellStyle name="40% - Accent6 5" xfId="59" xr:uid="{00000000-0005-0000-0000-000046000000}"/>
    <cellStyle name="40% - Accent6 6" xfId="60" xr:uid="{00000000-0005-0000-0000-000047000000}"/>
    <cellStyle name="60% - Accent1 2" xfId="61" xr:uid="{00000000-0005-0000-0000-000049000000}"/>
    <cellStyle name="60% - Accent1 3" xfId="62" xr:uid="{00000000-0005-0000-0000-00004A000000}"/>
    <cellStyle name="60% - Accent1 4" xfId="63" xr:uid="{00000000-0005-0000-0000-00004B000000}"/>
    <cellStyle name="60% - Accent1 5" xfId="64" xr:uid="{00000000-0005-0000-0000-00004C000000}"/>
    <cellStyle name="60% - Accent1 6" xfId="65" xr:uid="{00000000-0005-0000-0000-00004D000000}"/>
    <cellStyle name="60% - Accent2 2" xfId="66" xr:uid="{00000000-0005-0000-0000-00004F000000}"/>
    <cellStyle name="60% - Accent2 3" xfId="67" xr:uid="{00000000-0005-0000-0000-000050000000}"/>
    <cellStyle name="60% - Accent2 4" xfId="68" xr:uid="{00000000-0005-0000-0000-000051000000}"/>
    <cellStyle name="60% - Accent2 5" xfId="69" xr:uid="{00000000-0005-0000-0000-000052000000}"/>
    <cellStyle name="60% - Accent2 6" xfId="70" xr:uid="{00000000-0005-0000-0000-000053000000}"/>
    <cellStyle name="60% - Accent3 2" xfId="71" xr:uid="{00000000-0005-0000-0000-000055000000}"/>
    <cellStyle name="60% - Accent3 3" xfId="72" xr:uid="{00000000-0005-0000-0000-000056000000}"/>
    <cellStyle name="60% - Accent3 4" xfId="73" xr:uid="{00000000-0005-0000-0000-000057000000}"/>
    <cellStyle name="60% - Accent3 5" xfId="74" xr:uid="{00000000-0005-0000-0000-000058000000}"/>
    <cellStyle name="60% - Accent3 6" xfId="75" xr:uid="{00000000-0005-0000-0000-000059000000}"/>
    <cellStyle name="60% - Accent4 2" xfId="76" xr:uid="{00000000-0005-0000-0000-00005B000000}"/>
    <cellStyle name="60% - Accent4 3" xfId="77" xr:uid="{00000000-0005-0000-0000-00005C000000}"/>
    <cellStyle name="60% - Accent4 4" xfId="78" xr:uid="{00000000-0005-0000-0000-00005D000000}"/>
    <cellStyle name="60% - Accent4 5" xfId="79" xr:uid="{00000000-0005-0000-0000-00005E000000}"/>
    <cellStyle name="60% - Accent4 6" xfId="80" xr:uid="{00000000-0005-0000-0000-00005F000000}"/>
    <cellStyle name="60% - Accent5 2" xfId="81" xr:uid="{00000000-0005-0000-0000-000061000000}"/>
    <cellStyle name="60% - Accent5 3" xfId="82" xr:uid="{00000000-0005-0000-0000-000062000000}"/>
    <cellStyle name="60% - Accent5 4" xfId="83" xr:uid="{00000000-0005-0000-0000-000063000000}"/>
    <cellStyle name="60% - Accent5 5" xfId="84" xr:uid="{00000000-0005-0000-0000-000064000000}"/>
    <cellStyle name="60% - Accent5 6" xfId="85" xr:uid="{00000000-0005-0000-0000-000065000000}"/>
    <cellStyle name="60% - Accent6 2" xfId="86" xr:uid="{00000000-0005-0000-0000-000067000000}"/>
    <cellStyle name="60% - Accent6 3" xfId="87" xr:uid="{00000000-0005-0000-0000-000068000000}"/>
    <cellStyle name="60% - Accent6 4" xfId="88" xr:uid="{00000000-0005-0000-0000-000069000000}"/>
    <cellStyle name="60% - Accent6 5" xfId="89" xr:uid="{00000000-0005-0000-0000-00006A000000}"/>
    <cellStyle name="60% - Accent6 6" xfId="90" xr:uid="{00000000-0005-0000-0000-00006B000000}"/>
    <cellStyle name="Accent1 2" xfId="91" xr:uid="{00000000-0005-0000-0000-00006D000000}"/>
    <cellStyle name="Accent1 3" xfId="92" xr:uid="{00000000-0005-0000-0000-00006E000000}"/>
    <cellStyle name="Accent1 4" xfId="93" xr:uid="{00000000-0005-0000-0000-00006F000000}"/>
    <cellStyle name="Accent1 5" xfId="94" xr:uid="{00000000-0005-0000-0000-000070000000}"/>
    <cellStyle name="Accent1 6" xfId="95" xr:uid="{00000000-0005-0000-0000-000071000000}"/>
    <cellStyle name="Accent2 2" xfId="96" xr:uid="{00000000-0005-0000-0000-000073000000}"/>
    <cellStyle name="Accent2 3" xfId="97" xr:uid="{00000000-0005-0000-0000-000074000000}"/>
    <cellStyle name="Accent2 4" xfId="98" xr:uid="{00000000-0005-0000-0000-000075000000}"/>
    <cellStyle name="Accent2 5" xfId="99" xr:uid="{00000000-0005-0000-0000-000076000000}"/>
    <cellStyle name="Accent2 6" xfId="100" xr:uid="{00000000-0005-0000-0000-000077000000}"/>
    <cellStyle name="Accent3 2" xfId="101" xr:uid="{00000000-0005-0000-0000-000079000000}"/>
    <cellStyle name="Accent3 3" xfId="102" xr:uid="{00000000-0005-0000-0000-00007A000000}"/>
    <cellStyle name="Accent3 4" xfId="103" xr:uid="{00000000-0005-0000-0000-00007B000000}"/>
    <cellStyle name="Accent3 5" xfId="104" xr:uid="{00000000-0005-0000-0000-00007C000000}"/>
    <cellStyle name="Accent3 6" xfId="105" xr:uid="{00000000-0005-0000-0000-00007D000000}"/>
    <cellStyle name="Accent4 2" xfId="106" xr:uid="{00000000-0005-0000-0000-00007F000000}"/>
    <cellStyle name="Accent4 3" xfId="107" xr:uid="{00000000-0005-0000-0000-000080000000}"/>
    <cellStyle name="Accent4 4" xfId="108" xr:uid="{00000000-0005-0000-0000-000081000000}"/>
    <cellStyle name="Accent4 5" xfId="109" xr:uid="{00000000-0005-0000-0000-000082000000}"/>
    <cellStyle name="Accent4 6" xfId="110" xr:uid="{00000000-0005-0000-0000-000083000000}"/>
    <cellStyle name="Accent5 2" xfId="111" xr:uid="{00000000-0005-0000-0000-000085000000}"/>
    <cellStyle name="Accent5 3" xfId="112" xr:uid="{00000000-0005-0000-0000-000086000000}"/>
    <cellStyle name="Accent5 4" xfId="113" xr:uid="{00000000-0005-0000-0000-000087000000}"/>
    <cellStyle name="Accent5 5" xfId="114" xr:uid="{00000000-0005-0000-0000-000088000000}"/>
    <cellStyle name="Accent5 6" xfId="115" xr:uid="{00000000-0005-0000-0000-000089000000}"/>
    <cellStyle name="Accent6 2" xfId="116" xr:uid="{00000000-0005-0000-0000-00008B000000}"/>
    <cellStyle name="Accent6 3" xfId="117" xr:uid="{00000000-0005-0000-0000-00008C000000}"/>
    <cellStyle name="Accent6 4" xfId="118" xr:uid="{00000000-0005-0000-0000-00008D000000}"/>
    <cellStyle name="Accent6 5" xfId="119" xr:uid="{00000000-0005-0000-0000-00008E000000}"/>
    <cellStyle name="Accent6 6" xfId="120" xr:uid="{00000000-0005-0000-0000-00008F000000}"/>
    <cellStyle name="Bad 2" xfId="121" xr:uid="{00000000-0005-0000-0000-000091000000}"/>
    <cellStyle name="Bad 3" xfId="122" xr:uid="{00000000-0005-0000-0000-000092000000}"/>
    <cellStyle name="Bad 4" xfId="123" xr:uid="{00000000-0005-0000-0000-000093000000}"/>
    <cellStyle name="Bad 5" xfId="124" xr:uid="{00000000-0005-0000-0000-000094000000}"/>
    <cellStyle name="Bad 6" xfId="125" xr:uid="{00000000-0005-0000-0000-000095000000}"/>
    <cellStyle name="Calculation 2" xfId="126" xr:uid="{00000000-0005-0000-0000-000097000000}"/>
    <cellStyle name="Calculation 3" xfId="127" xr:uid="{00000000-0005-0000-0000-000098000000}"/>
    <cellStyle name="Calculation 4" xfId="128" xr:uid="{00000000-0005-0000-0000-000099000000}"/>
    <cellStyle name="Calculation 5" xfId="129" xr:uid="{00000000-0005-0000-0000-00009A000000}"/>
    <cellStyle name="Calculation 6" xfId="130" xr:uid="{00000000-0005-0000-0000-00009B000000}"/>
    <cellStyle name="Check Cell 2" xfId="131" xr:uid="{00000000-0005-0000-0000-00009D000000}"/>
    <cellStyle name="Check Cell 3" xfId="132" xr:uid="{00000000-0005-0000-0000-00009E000000}"/>
    <cellStyle name="Check Cell 4" xfId="133" xr:uid="{00000000-0005-0000-0000-00009F000000}"/>
    <cellStyle name="Check Cell 5" xfId="134" xr:uid="{00000000-0005-0000-0000-0000A0000000}"/>
    <cellStyle name="Check Cell 6" xfId="135" xr:uid="{00000000-0005-0000-0000-0000A1000000}"/>
    <cellStyle name="Comma" xfId="136" builtinId="3"/>
    <cellStyle name="Comma 2" xfId="137" xr:uid="{00000000-0005-0000-0000-0000AB000000}"/>
    <cellStyle name="Explanatory Text 2" xfId="138" xr:uid="{00000000-0005-0000-0000-0000AF000000}"/>
    <cellStyle name="Explanatory Text 3" xfId="139" xr:uid="{00000000-0005-0000-0000-0000B0000000}"/>
    <cellStyle name="Explanatory Text 4" xfId="140" xr:uid="{00000000-0005-0000-0000-0000B1000000}"/>
    <cellStyle name="Explanatory Text 5" xfId="141" xr:uid="{00000000-0005-0000-0000-0000B2000000}"/>
    <cellStyle name="Explanatory Text 6" xfId="142" xr:uid="{00000000-0005-0000-0000-0000B3000000}"/>
    <cellStyle name="Good 2" xfId="143" xr:uid="{00000000-0005-0000-0000-0000B6000000}"/>
    <cellStyle name="Good 3" xfId="144" xr:uid="{00000000-0005-0000-0000-0000B7000000}"/>
    <cellStyle name="Good 4" xfId="145" xr:uid="{00000000-0005-0000-0000-0000B8000000}"/>
    <cellStyle name="Good 5" xfId="146" xr:uid="{00000000-0005-0000-0000-0000B9000000}"/>
    <cellStyle name="Good 6" xfId="147" xr:uid="{00000000-0005-0000-0000-0000BA000000}"/>
    <cellStyle name="Heading 1 2" xfId="148" xr:uid="{00000000-0005-0000-0000-0000BC000000}"/>
    <cellStyle name="Heading 1 3" xfId="149" xr:uid="{00000000-0005-0000-0000-0000BD000000}"/>
    <cellStyle name="Heading 1 4" xfId="150" xr:uid="{00000000-0005-0000-0000-0000BE000000}"/>
    <cellStyle name="Heading 1 5" xfId="151" xr:uid="{00000000-0005-0000-0000-0000BF000000}"/>
    <cellStyle name="Heading 1 6" xfId="152" xr:uid="{00000000-0005-0000-0000-0000C0000000}"/>
    <cellStyle name="Heading 2 2" xfId="153" xr:uid="{00000000-0005-0000-0000-0000C2000000}"/>
    <cellStyle name="Heading 2 3" xfId="154" xr:uid="{00000000-0005-0000-0000-0000C3000000}"/>
    <cellStyle name="Heading 2 4" xfId="155" xr:uid="{00000000-0005-0000-0000-0000C4000000}"/>
    <cellStyle name="Heading 2 5" xfId="156" xr:uid="{00000000-0005-0000-0000-0000C5000000}"/>
    <cellStyle name="Heading 2 6" xfId="157" xr:uid="{00000000-0005-0000-0000-0000C6000000}"/>
    <cellStyle name="Heading 3 2" xfId="158" xr:uid="{00000000-0005-0000-0000-0000C8000000}"/>
    <cellStyle name="Heading 3 3" xfId="159" xr:uid="{00000000-0005-0000-0000-0000C9000000}"/>
    <cellStyle name="Heading 3 4" xfId="160" xr:uid="{00000000-0005-0000-0000-0000CA000000}"/>
    <cellStyle name="Heading 3 5" xfId="161" xr:uid="{00000000-0005-0000-0000-0000CB000000}"/>
    <cellStyle name="Heading 3 6" xfId="162" xr:uid="{00000000-0005-0000-0000-0000CC000000}"/>
    <cellStyle name="Heading 4 2" xfId="163" xr:uid="{00000000-0005-0000-0000-0000CE000000}"/>
    <cellStyle name="Heading 4 3" xfId="164" xr:uid="{00000000-0005-0000-0000-0000CF000000}"/>
    <cellStyle name="Heading 4 4" xfId="165" xr:uid="{00000000-0005-0000-0000-0000D0000000}"/>
    <cellStyle name="Heading 4 5" xfId="166" xr:uid="{00000000-0005-0000-0000-0000D1000000}"/>
    <cellStyle name="Heading 4 6" xfId="167" xr:uid="{00000000-0005-0000-0000-0000D2000000}"/>
    <cellStyle name="Input 2" xfId="168" xr:uid="{00000000-0005-0000-0000-0000D5000000}"/>
    <cellStyle name="Input 3" xfId="169" xr:uid="{00000000-0005-0000-0000-0000D6000000}"/>
    <cellStyle name="Input 4" xfId="170" xr:uid="{00000000-0005-0000-0000-0000D7000000}"/>
    <cellStyle name="Input 5" xfId="171" xr:uid="{00000000-0005-0000-0000-0000D8000000}"/>
    <cellStyle name="Input 6" xfId="172" xr:uid="{00000000-0005-0000-0000-0000D9000000}"/>
    <cellStyle name="Linked Cell 2" xfId="173" xr:uid="{00000000-0005-0000-0000-0000DB000000}"/>
    <cellStyle name="Linked Cell 3" xfId="174" xr:uid="{00000000-0005-0000-0000-0000DC000000}"/>
    <cellStyle name="Linked Cell 4" xfId="175" xr:uid="{00000000-0005-0000-0000-0000DD000000}"/>
    <cellStyle name="Linked Cell 5" xfId="176" xr:uid="{00000000-0005-0000-0000-0000DE000000}"/>
    <cellStyle name="Linked Cell 6" xfId="177" xr:uid="{00000000-0005-0000-0000-0000DF000000}"/>
    <cellStyle name="Neutral 2" xfId="178" xr:uid="{00000000-0005-0000-0000-0000E1000000}"/>
    <cellStyle name="Neutral 3" xfId="179" xr:uid="{00000000-0005-0000-0000-0000E2000000}"/>
    <cellStyle name="Neutral 4" xfId="180" xr:uid="{00000000-0005-0000-0000-0000E3000000}"/>
    <cellStyle name="Neutral 5" xfId="181" xr:uid="{00000000-0005-0000-0000-0000E4000000}"/>
    <cellStyle name="Neutral 6" xfId="182" xr:uid="{00000000-0005-0000-0000-0000E5000000}"/>
    <cellStyle name="Normal" xfId="0" builtinId="0"/>
    <cellStyle name="Normal 2" xfId="183" xr:uid="{00000000-0005-0000-0000-0000E7000000}"/>
    <cellStyle name="Normal 2 2" xfId="184" xr:uid="{00000000-0005-0000-0000-0000E8000000}"/>
    <cellStyle name="Normal 2 3" xfId="185" xr:uid="{00000000-0005-0000-0000-0000E9000000}"/>
    <cellStyle name="Normal 2 4" xfId="186" xr:uid="{00000000-0005-0000-0000-0000EA000000}"/>
    <cellStyle name="Normal 2 5" xfId="187" xr:uid="{00000000-0005-0000-0000-0000EB000000}"/>
    <cellStyle name="Normal 5" xfId="188" xr:uid="{00000000-0005-0000-0000-0000EC000000}"/>
    <cellStyle name="Normal 6" xfId="189" xr:uid="{00000000-0005-0000-0000-0000ED000000}"/>
    <cellStyle name="Normal 6 2" xfId="190" xr:uid="{00000000-0005-0000-0000-0000EE000000}"/>
    <cellStyle name="Note 2" xfId="191" xr:uid="{00000000-0005-0000-0000-0000F0000000}"/>
    <cellStyle name="Note 3" xfId="192" xr:uid="{00000000-0005-0000-0000-0000F1000000}"/>
    <cellStyle name="Note 4" xfId="193" xr:uid="{00000000-0005-0000-0000-0000F2000000}"/>
    <cellStyle name="Note 5" xfId="194" xr:uid="{00000000-0005-0000-0000-0000F3000000}"/>
    <cellStyle name="Note 6" xfId="195" xr:uid="{00000000-0005-0000-0000-0000F4000000}"/>
    <cellStyle name="Output 2" xfId="196" xr:uid="{00000000-0005-0000-0000-0000F6000000}"/>
    <cellStyle name="Output 3" xfId="197" xr:uid="{00000000-0005-0000-0000-0000F7000000}"/>
    <cellStyle name="Output 4" xfId="198" xr:uid="{00000000-0005-0000-0000-0000F8000000}"/>
    <cellStyle name="Output 5" xfId="199" xr:uid="{00000000-0005-0000-0000-0000F9000000}"/>
    <cellStyle name="Output 6" xfId="200" xr:uid="{00000000-0005-0000-0000-0000FA000000}"/>
    <cellStyle name="Title 2" xfId="201" xr:uid="{00000000-0005-0000-0000-000004010000}"/>
    <cellStyle name="Title 3" xfId="202" xr:uid="{00000000-0005-0000-0000-000005010000}"/>
    <cellStyle name="Title 4" xfId="203" xr:uid="{00000000-0005-0000-0000-000006010000}"/>
    <cellStyle name="Title 5" xfId="204" xr:uid="{00000000-0005-0000-0000-000007010000}"/>
    <cellStyle name="Title 6" xfId="205" xr:uid="{00000000-0005-0000-0000-000008010000}"/>
    <cellStyle name="Total 2" xfId="206" xr:uid="{00000000-0005-0000-0000-00000A010000}"/>
    <cellStyle name="Total 3" xfId="207" xr:uid="{00000000-0005-0000-0000-00000B010000}"/>
    <cellStyle name="Total 4" xfId="208" xr:uid="{00000000-0005-0000-0000-00000C010000}"/>
    <cellStyle name="Total 5" xfId="209" xr:uid="{00000000-0005-0000-0000-00000D010000}"/>
    <cellStyle name="Total 6" xfId="210" xr:uid="{00000000-0005-0000-0000-00000E010000}"/>
    <cellStyle name="Warning Text 2" xfId="211" xr:uid="{00000000-0005-0000-0000-000010010000}"/>
    <cellStyle name="Warning Text 3" xfId="212" xr:uid="{00000000-0005-0000-0000-000011010000}"/>
    <cellStyle name="Warning Text 4" xfId="213" xr:uid="{00000000-0005-0000-0000-000012010000}"/>
    <cellStyle name="Warning Text 5" xfId="214" xr:uid="{00000000-0005-0000-0000-000013010000}"/>
    <cellStyle name="Warning Text 6" xfId="215" xr:uid="{00000000-0005-0000-0000-00001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56"/>
  <sheetViews>
    <sheetView tabSelected="1" topLeftCell="B1" zoomScale="115" zoomScaleNormal="115" workbookViewId="0"/>
  </sheetViews>
  <sheetFormatPr defaultColWidth="9.140625" defaultRowHeight="12.75" x14ac:dyDescent="0.2"/>
  <cols>
    <col min="1" max="1" width="0" style="30" hidden="1" customWidth="1"/>
    <col min="2" max="2" width="0.42578125" style="23" customWidth="1"/>
    <col min="3" max="3" width="7" style="23" customWidth="1"/>
    <col min="4" max="4" width="6.42578125" style="23" customWidth="1"/>
    <col min="5" max="5" width="24.5703125" style="23" customWidth="1"/>
    <col min="6" max="6" width="14.85546875" style="23" customWidth="1"/>
    <col min="7" max="7" width="13.42578125" style="46" customWidth="1"/>
    <col min="8" max="8" width="12.42578125" style="23" customWidth="1"/>
    <col min="9" max="9" width="12.5703125" style="46" customWidth="1"/>
    <col min="10" max="10" width="15" style="23" customWidth="1"/>
    <col min="11" max="11" width="14.85546875" style="23" customWidth="1"/>
    <col min="12" max="12" width="13.42578125" style="23" customWidth="1"/>
    <col min="13" max="13" width="15.140625" style="46" customWidth="1"/>
    <col min="14" max="14" width="0.42578125" style="23" customWidth="1"/>
    <col min="15" max="15" width="12.5703125" style="46" customWidth="1"/>
    <col min="16" max="16" width="15" style="23" customWidth="1"/>
    <col min="17" max="17" width="9.28515625" style="23" customWidth="1"/>
    <col min="18" max="18" width="13" style="23" customWidth="1"/>
    <col min="19" max="19" width="11.42578125" style="23" customWidth="1"/>
    <col min="20" max="21" width="10.5703125" style="23" customWidth="1"/>
    <col min="22" max="23" width="12" style="48" customWidth="1"/>
    <col min="24" max="24" width="9" style="23" customWidth="1"/>
    <col min="25" max="25" width="8.5703125" style="23" customWidth="1"/>
    <col min="26" max="28" width="12.85546875" style="23" customWidth="1"/>
    <col min="29" max="29" width="9.140625" style="23"/>
    <col min="30" max="30" width="28.5703125" style="23" customWidth="1"/>
    <col min="31" max="31" width="16.5703125" style="23" customWidth="1"/>
    <col min="32" max="32" width="5" style="23" customWidth="1"/>
    <col min="33" max="33" width="11.7109375" style="23" customWidth="1"/>
    <col min="34" max="38" width="16.5703125" style="23" customWidth="1"/>
    <col min="39" max="39" width="9.140625" style="23"/>
    <col min="40" max="40" width="14.140625" style="23" customWidth="1"/>
    <col min="41" max="43" width="9.140625" style="23"/>
    <col min="44" max="44" width="11.42578125" style="23" customWidth="1"/>
    <col min="45" max="45" width="28.5703125" style="23" customWidth="1"/>
    <col min="46" max="47" width="14.28515625" style="23" customWidth="1"/>
    <col min="48" max="49" width="9.140625" style="23"/>
    <col min="50" max="50" width="14.28515625" style="23" customWidth="1"/>
    <col min="51" max="51" width="8.5703125" style="23" customWidth="1"/>
    <col min="52" max="52" width="9.140625" style="23"/>
    <col min="53" max="58" width="0" style="23" hidden="1" customWidth="1"/>
    <col min="59" max="16384" width="9.140625" style="23"/>
  </cols>
  <sheetData>
    <row r="1" spans="1:44" ht="17.25" customHeight="1" x14ac:dyDescent="0.3">
      <c r="A1" s="28"/>
      <c r="B1" s="33" t="s">
        <v>34</v>
      </c>
      <c r="C1" s="26"/>
      <c r="D1" s="15"/>
      <c r="E1" s="24"/>
      <c r="F1" s="24"/>
      <c r="G1" s="42"/>
      <c r="Y1" s="15"/>
      <c r="Z1" s="15"/>
      <c r="AD1" s="15"/>
      <c r="AE1" s="15"/>
      <c r="AF1" s="15"/>
      <c r="AG1" s="15"/>
      <c r="AR1" s="15"/>
    </row>
    <row r="2" spans="1:44" ht="18" customHeight="1" x14ac:dyDescent="0.25">
      <c r="A2" s="29"/>
      <c r="B2" s="34" t="s">
        <v>2</v>
      </c>
      <c r="D2" s="15"/>
      <c r="E2" s="15"/>
      <c r="F2" s="15"/>
      <c r="G2" s="42"/>
      <c r="Y2" s="15"/>
      <c r="Z2" s="15"/>
      <c r="AD2" s="15"/>
      <c r="AE2" s="15"/>
      <c r="AF2" s="15"/>
      <c r="AG2" s="15"/>
      <c r="AR2" s="15"/>
    </row>
    <row r="3" spans="1:44" ht="11.25" customHeight="1" x14ac:dyDescent="0.2">
      <c r="B3" s="16" t="str">
        <f>"Printed by OneByOne 2  20-Jan-26 03:40:39"</f>
        <v>Printed by OneByOne 2  20-Jan-26 03:40:39</v>
      </c>
      <c r="D3" s="16"/>
      <c r="E3" s="20"/>
      <c r="F3" s="20"/>
      <c r="G3" s="43"/>
      <c r="Y3" s="41"/>
      <c r="Z3" s="20"/>
      <c r="AD3" s="20"/>
      <c r="AE3" s="17"/>
      <c r="AF3" s="20"/>
      <c r="AG3" s="17"/>
      <c r="AR3" s="20"/>
    </row>
    <row r="4" spans="1:44" ht="3.75" customHeight="1" x14ac:dyDescent="0.2">
      <c r="C4" s="21"/>
      <c r="D4" s="19"/>
      <c r="E4" s="21"/>
      <c r="F4" s="21"/>
      <c r="G4" s="44"/>
      <c r="I4" s="47"/>
      <c r="M4" s="47"/>
      <c r="O4" s="47"/>
      <c r="Y4" s="40"/>
      <c r="Z4" s="19"/>
      <c r="AD4" s="19"/>
      <c r="AE4" s="22"/>
      <c r="AF4" s="19"/>
      <c r="AG4" s="22"/>
      <c r="AR4" s="19"/>
    </row>
    <row r="5" spans="1:44" x14ac:dyDescent="0.2">
      <c r="A5" s="31"/>
      <c r="C5" s="77" t="s">
        <v>24</v>
      </c>
      <c r="D5" s="78"/>
      <c r="E5" s="78"/>
      <c r="F5" s="78"/>
      <c r="G5" s="77" t="s">
        <v>20</v>
      </c>
      <c r="H5" s="78"/>
      <c r="I5" s="78"/>
      <c r="J5" s="78"/>
      <c r="K5" s="77" t="s">
        <v>13</v>
      </c>
      <c r="L5" s="78"/>
      <c r="M5" s="78"/>
      <c r="N5" s="78"/>
      <c r="O5" s="77" t="s">
        <v>14</v>
      </c>
      <c r="P5" s="77"/>
      <c r="Q5" s="77"/>
      <c r="R5" s="77"/>
      <c r="S5" s="52"/>
      <c r="T5" s="52"/>
      <c r="U5" s="52"/>
      <c r="V5" s="52"/>
      <c r="X5" s="48"/>
      <c r="Y5" s="48"/>
      <c r="Z5" s="49"/>
      <c r="AD5" s="19"/>
      <c r="AE5" s="22"/>
      <c r="AF5" s="19"/>
      <c r="AG5" s="22"/>
      <c r="AR5" s="19"/>
    </row>
    <row r="6" spans="1:44" x14ac:dyDescent="0.2">
      <c r="A6" s="31"/>
      <c r="C6" s="2" t="s">
        <v>35</v>
      </c>
      <c r="D6" s="2"/>
      <c r="E6" s="2"/>
      <c r="F6" s="2"/>
      <c r="G6" s="2" t="s">
        <v>36</v>
      </c>
      <c r="H6" s="2"/>
      <c r="I6" s="2"/>
      <c r="J6" s="2"/>
      <c r="K6" s="2" t="s">
        <v>37</v>
      </c>
      <c r="L6" s="2"/>
      <c r="M6" s="2"/>
      <c r="N6" s="2"/>
      <c r="O6" s="2" t="s">
        <v>38</v>
      </c>
      <c r="P6" s="2"/>
      <c r="Q6" s="2"/>
      <c r="R6" s="2"/>
      <c r="S6" s="52"/>
      <c r="T6" s="52"/>
      <c r="U6" s="52"/>
      <c r="V6" s="52"/>
      <c r="X6" s="48"/>
      <c r="Y6" s="48"/>
      <c r="Z6" s="50"/>
      <c r="AD6" s="19"/>
      <c r="AE6" s="22"/>
      <c r="AF6" s="19"/>
      <c r="AG6" s="22"/>
      <c r="AR6" s="19"/>
    </row>
    <row r="7" spans="1:44" x14ac:dyDescent="0.2">
      <c r="A7" s="31"/>
      <c r="C7" s="56" t="s">
        <v>9</v>
      </c>
      <c r="D7" s="56"/>
      <c r="E7" s="56"/>
      <c r="F7" s="9" t="s">
        <v>10</v>
      </c>
      <c r="G7" s="5"/>
      <c r="H7" s="9" t="s">
        <v>11</v>
      </c>
      <c r="I7" s="5"/>
      <c r="J7" s="9" t="s">
        <v>12</v>
      </c>
      <c r="K7" s="5"/>
      <c r="L7" s="9" t="s">
        <v>25</v>
      </c>
      <c r="M7" s="7"/>
      <c r="N7" s="5"/>
      <c r="O7" s="9" t="s">
        <v>27</v>
      </c>
      <c r="P7" s="5"/>
      <c r="Q7" s="9" t="s">
        <v>26</v>
      </c>
      <c r="R7" s="5"/>
      <c r="S7" s="50"/>
      <c r="T7" s="50"/>
      <c r="U7" s="50"/>
      <c r="V7" s="50"/>
      <c r="W7" s="49"/>
      <c r="X7" s="49"/>
      <c r="Y7" s="49"/>
      <c r="Z7" s="49"/>
      <c r="AD7" s="19"/>
      <c r="AE7" s="22"/>
      <c r="AF7" s="19"/>
      <c r="AG7" s="22"/>
      <c r="AR7" s="19"/>
    </row>
    <row r="8" spans="1:44" x14ac:dyDescent="0.2">
      <c r="A8" s="31"/>
      <c r="C8" s="57" t="s">
        <v>39</v>
      </c>
      <c r="D8" s="57"/>
      <c r="E8" s="57"/>
      <c r="F8" s="3" t="s">
        <v>40</v>
      </c>
      <c r="G8" s="14"/>
      <c r="H8" s="3" t="s">
        <v>41</v>
      </c>
      <c r="I8" s="14"/>
      <c r="J8" s="3" t="s">
        <v>41</v>
      </c>
      <c r="K8" s="14"/>
      <c r="L8" s="3"/>
      <c r="M8" s="1"/>
      <c r="N8" s="14"/>
      <c r="O8" s="3"/>
      <c r="P8" s="14"/>
      <c r="Q8" s="3"/>
      <c r="R8" s="14"/>
      <c r="S8" s="50"/>
      <c r="T8" s="50"/>
      <c r="U8" s="50"/>
      <c r="V8" s="50"/>
      <c r="W8" s="49"/>
      <c r="X8" s="49"/>
      <c r="Y8" s="49"/>
      <c r="Z8" s="50"/>
      <c r="AD8" s="19"/>
      <c r="AE8" s="22"/>
      <c r="AF8" s="19"/>
      <c r="AG8" s="22"/>
      <c r="AR8" s="19"/>
    </row>
    <row r="9" spans="1:44" x14ac:dyDescent="0.2">
      <c r="A9" s="31"/>
      <c r="C9" s="77" t="s">
        <v>4</v>
      </c>
      <c r="D9" s="77"/>
      <c r="E9" s="77"/>
      <c r="F9" s="77" t="s">
        <v>5</v>
      </c>
      <c r="G9" s="77"/>
      <c r="H9" s="77"/>
      <c r="I9" s="77" t="s">
        <v>6</v>
      </c>
      <c r="J9" s="77"/>
      <c r="K9" s="77"/>
      <c r="L9" s="77" t="s">
        <v>7</v>
      </c>
      <c r="M9" s="77"/>
      <c r="N9" s="77"/>
      <c r="O9" s="77" t="s">
        <v>8</v>
      </c>
      <c r="P9" s="78"/>
      <c r="Q9" s="78"/>
      <c r="R9" s="78"/>
      <c r="S9" s="50"/>
      <c r="T9" s="50"/>
      <c r="U9" s="50"/>
      <c r="V9" s="50"/>
      <c r="Y9" s="40"/>
      <c r="Z9" s="19"/>
      <c r="AD9" s="19"/>
      <c r="AE9" s="22"/>
      <c r="AF9" s="19"/>
      <c r="AG9" s="22"/>
      <c r="AR9" s="19"/>
    </row>
    <row r="10" spans="1:44" x14ac:dyDescent="0.2">
      <c r="A10" s="31"/>
      <c r="C10" s="2" t="s">
        <v>42</v>
      </c>
      <c r="D10" s="2"/>
      <c r="E10" s="2"/>
      <c r="F10" s="2" t="s">
        <v>43</v>
      </c>
      <c r="G10" s="2"/>
      <c r="H10" s="2"/>
      <c r="I10" s="2" t="s">
        <v>44</v>
      </c>
      <c r="J10" s="2"/>
      <c r="K10" s="2"/>
      <c r="L10" s="2" t="s">
        <v>45</v>
      </c>
      <c r="M10" s="2"/>
      <c r="N10" s="2"/>
      <c r="O10" s="2" t="s">
        <v>46</v>
      </c>
      <c r="P10" s="2"/>
      <c r="Q10" s="2"/>
      <c r="R10" s="2"/>
      <c r="S10" s="50"/>
      <c r="T10" s="50"/>
      <c r="U10" s="50"/>
      <c r="V10" s="50"/>
      <c r="Y10" s="40"/>
      <c r="Z10" s="19"/>
      <c r="AD10" s="19"/>
      <c r="AE10" s="22"/>
      <c r="AF10" s="19"/>
      <c r="AG10" s="22"/>
      <c r="AR10" s="19"/>
    </row>
    <row r="11" spans="1:44" x14ac:dyDescent="0.2">
      <c r="A11" s="31"/>
      <c r="C11" s="9" t="s">
        <v>3</v>
      </c>
      <c r="D11" s="7"/>
      <c r="E11" s="5"/>
      <c r="F11" s="9" t="s">
        <v>3</v>
      </c>
      <c r="G11" s="7"/>
      <c r="H11" s="9" t="s">
        <v>3</v>
      </c>
      <c r="I11" s="7"/>
      <c r="J11" s="5"/>
      <c r="K11" s="9" t="s">
        <v>3</v>
      </c>
      <c r="L11" s="7"/>
      <c r="M11" s="5"/>
      <c r="N11" s="9" t="s">
        <v>3</v>
      </c>
      <c r="O11" s="7"/>
      <c r="P11" s="5"/>
      <c r="Q11" s="12" t="s">
        <v>3</v>
      </c>
      <c r="R11" s="10"/>
      <c r="S11" s="50"/>
      <c r="T11" s="50"/>
      <c r="U11" s="50"/>
      <c r="V11" s="50"/>
      <c r="Y11" s="40"/>
      <c r="Z11" s="19"/>
      <c r="AD11" s="19"/>
      <c r="AE11" s="22"/>
      <c r="AF11" s="19"/>
      <c r="AG11" s="22"/>
      <c r="AR11" s="19"/>
    </row>
    <row r="12" spans="1:44" x14ac:dyDescent="0.2">
      <c r="A12" s="31"/>
      <c r="C12" s="3" t="s">
        <v>47</v>
      </c>
      <c r="D12" s="1"/>
      <c r="E12" s="14"/>
      <c r="F12" s="13" t="s">
        <v>48</v>
      </c>
      <c r="G12" s="11"/>
      <c r="H12" s="3"/>
      <c r="I12" s="1"/>
      <c r="J12" s="14"/>
      <c r="K12" s="3"/>
      <c r="L12" s="1"/>
      <c r="M12" s="14"/>
      <c r="N12" s="8"/>
      <c r="O12" s="6"/>
      <c r="P12" s="4"/>
      <c r="Q12" s="3"/>
      <c r="R12" s="14"/>
      <c r="S12" s="50"/>
      <c r="T12" s="50"/>
      <c r="U12" s="50"/>
      <c r="V12" s="50"/>
      <c r="Y12" s="40"/>
      <c r="Z12" s="19"/>
      <c r="AD12" s="19"/>
      <c r="AE12" s="22"/>
      <c r="AF12" s="19"/>
      <c r="AG12" s="22"/>
      <c r="AR12" s="19"/>
    </row>
    <row r="13" spans="1:44" x14ac:dyDescent="0.2">
      <c r="A13" s="31"/>
      <c r="C13" s="9" t="s">
        <v>23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5"/>
      <c r="S13" s="50"/>
      <c r="T13" s="50"/>
      <c r="U13" s="50"/>
      <c r="V13" s="50"/>
      <c r="Y13" s="40"/>
      <c r="Z13" s="19"/>
      <c r="AD13" s="19"/>
      <c r="AE13" s="22"/>
      <c r="AF13" s="19"/>
      <c r="AG13" s="22"/>
      <c r="AR13" s="19"/>
    </row>
    <row r="14" spans="1:44" x14ac:dyDescent="0.2">
      <c r="A14" s="31"/>
      <c r="C14" s="3" t="s">
        <v>49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4"/>
      <c r="S14" s="50"/>
      <c r="T14" s="50"/>
      <c r="U14" s="50"/>
      <c r="V14" s="50"/>
      <c r="Y14" s="40"/>
      <c r="Z14" s="19"/>
      <c r="AD14" s="19"/>
      <c r="AE14" s="22"/>
      <c r="AF14" s="19"/>
      <c r="AG14" s="22"/>
      <c r="AR14" s="19"/>
    </row>
    <row r="15" spans="1:44" x14ac:dyDescent="0.2">
      <c r="A15" s="31"/>
      <c r="C15" s="9" t="s">
        <v>22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5"/>
      <c r="S15" s="50"/>
      <c r="T15" s="50"/>
      <c r="U15" s="50"/>
      <c r="V15" s="50"/>
      <c r="Y15" s="40"/>
      <c r="Z15" s="19"/>
      <c r="AD15" s="19"/>
      <c r="AE15" s="22"/>
      <c r="AF15" s="19"/>
      <c r="AG15" s="22"/>
      <c r="AR15" s="19"/>
    </row>
    <row r="16" spans="1:44" x14ac:dyDescent="0.2">
      <c r="A16" s="31"/>
      <c r="C16" s="3" t="s">
        <v>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4"/>
      <c r="S16" s="50"/>
      <c r="T16" s="50"/>
      <c r="U16" s="50"/>
      <c r="V16" s="50"/>
      <c r="Y16" s="40"/>
      <c r="Z16" s="19"/>
      <c r="AD16" s="19"/>
      <c r="AE16" s="22"/>
      <c r="AF16" s="19"/>
      <c r="AG16" s="22"/>
      <c r="AR16" s="19"/>
    </row>
    <row r="17" spans="1:52" customFormat="1" ht="11.25" customHeight="1" x14ac:dyDescent="0.2">
      <c r="A17" s="31"/>
      <c r="B17" s="23"/>
      <c r="C17" s="54"/>
      <c r="D17" s="55"/>
      <c r="E17" s="55"/>
      <c r="F17" s="55" t="s">
        <v>28</v>
      </c>
      <c r="G17" s="55"/>
      <c r="H17" s="55"/>
      <c r="I17" s="55"/>
      <c r="J17" s="55"/>
      <c r="K17" s="54"/>
      <c r="L17" s="55"/>
      <c r="M17" s="55" t="s">
        <v>30</v>
      </c>
      <c r="N17" s="55"/>
      <c r="O17" s="55"/>
      <c r="P17" s="55"/>
      <c r="Q17" s="80" t="s">
        <v>32</v>
      </c>
      <c r="R17" s="80"/>
    </row>
    <row r="18" spans="1:52" ht="17.25" customHeight="1" x14ac:dyDescent="0.2">
      <c r="C18" s="59" t="s">
        <v>29</v>
      </c>
      <c r="D18" s="58"/>
      <c r="E18" s="58"/>
      <c r="F18" s="58"/>
      <c r="G18" s="58"/>
      <c r="H18" s="58"/>
      <c r="I18" s="58"/>
      <c r="J18" s="58"/>
      <c r="K18" s="74"/>
      <c r="L18" s="58"/>
      <c r="M18" s="58"/>
      <c r="N18" s="58"/>
      <c r="O18" s="58"/>
      <c r="P18" s="58"/>
      <c r="Q18" s="58"/>
      <c r="R18" s="58"/>
      <c r="V18" s="23"/>
      <c r="W18" s="23"/>
    </row>
    <row r="19" spans="1:52" s="25" customFormat="1" ht="34.5" customHeight="1" x14ac:dyDescent="0.2">
      <c r="A19" s="27"/>
      <c r="C19" s="62" t="s">
        <v>51</v>
      </c>
      <c r="D19" s="60" t="s">
        <v>52</v>
      </c>
      <c r="E19" s="60" t="s">
        <v>53</v>
      </c>
      <c r="F19" s="60" t="s">
        <v>54</v>
      </c>
      <c r="G19" s="60" t="s">
        <v>55</v>
      </c>
      <c r="H19" s="60" t="s">
        <v>56</v>
      </c>
      <c r="I19" s="60" t="s">
        <v>57</v>
      </c>
      <c r="J19" s="60" t="s">
        <v>58</v>
      </c>
      <c r="K19" s="62" t="s">
        <v>54</v>
      </c>
      <c r="L19" s="60" t="s">
        <v>55</v>
      </c>
      <c r="M19" s="60" t="s">
        <v>56</v>
      </c>
      <c r="N19" s="60"/>
      <c r="O19" s="60" t="s">
        <v>57</v>
      </c>
      <c r="P19" s="60" t="s">
        <v>58</v>
      </c>
      <c r="Q19" s="79" t="s">
        <v>59</v>
      </c>
      <c r="R19" s="79"/>
      <c r="S19" s="61"/>
      <c r="T19" s="36"/>
      <c r="U19" s="36"/>
      <c r="V19" s="36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18" customFormat="1" ht="12.75" customHeight="1" x14ac:dyDescent="0.2">
      <c r="C20" s="73" t="s">
        <v>60</v>
      </c>
      <c r="D20" s="38"/>
      <c r="E20" s="38"/>
      <c r="F20" s="38"/>
      <c r="G20" s="45"/>
      <c r="H20" s="39"/>
      <c r="I20" s="45"/>
      <c r="J20" s="38"/>
      <c r="K20" s="73" t="s">
        <v>61</v>
      </c>
      <c r="L20" s="38"/>
      <c r="M20" s="45"/>
      <c r="N20" s="39"/>
      <c r="O20" s="45"/>
      <c r="P20" s="38"/>
      <c r="Q20" s="38"/>
      <c r="R20" s="66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s="18" customFormat="1" ht="12.75" customHeight="1" x14ac:dyDescent="0.2">
      <c r="C21" s="73" t="s">
        <v>62</v>
      </c>
      <c r="D21" s="38"/>
      <c r="E21" s="38"/>
      <c r="F21" s="38"/>
      <c r="G21" s="45"/>
      <c r="H21" s="39"/>
      <c r="I21" s="45"/>
      <c r="J21" s="38"/>
      <c r="K21" s="73" t="s">
        <v>61</v>
      </c>
      <c r="L21" s="38"/>
      <c r="M21" s="45"/>
      <c r="N21" s="39"/>
      <c r="O21" s="45"/>
      <c r="P21" s="38"/>
      <c r="Q21" s="38"/>
      <c r="R21" s="66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s="18" customFormat="1" ht="12.75" customHeight="1" x14ac:dyDescent="0.2">
      <c r="A22" s="32"/>
      <c r="C22" s="64" t="s">
        <v>63</v>
      </c>
      <c r="D22" s="38" t="s">
        <v>64</v>
      </c>
      <c r="E22" s="38" t="s">
        <v>65</v>
      </c>
      <c r="F22" s="71" t="s">
        <v>66</v>
      </c>
      <c r="G22" s="38" t="s">
        <v>67</v>
      </c>
      <c r="H22" s="72" t="s">
        <v>68</v>
      </c>
      <c r="I22" s="72" t="str">
        <f>IF("THB"&lt;&gt;"JPY","JPY 17,892.00","")</f>
        <v>JPY 17,892.00</v>
      </c>
      <c r="J22" s="65" t="s">
        <v>69</v>
      </c>
      <c r="K22" s="75" t="s">
        <v>70</v>
      </c>
      <c r="L22" s="38" t="s">
        <v>71</v>
      </c>
      <c r="M22" s="72" t="s">
        <v>72</v>
      </c>
      <c r="N22" s="39"/>
      <c r="O22" s="65" t="str">
        <f t="shared" ref="O22:O29" si="0">IF("THB"&lt;&gt;"JPY","JPY 0.00","")</f>
        <v>JPY 0.00</v>
      </c>
      <c r="P22" s="38" t="s">
        <v>69</v>
      </c>
      <c r="Q22" s="83">
        <f>INT("17,892.00") - INT("0.00")</f>
        <v>17892</v>
      </c>
      <c r="R22" s="84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18" customFormat="1" ht="25.5" customHeight="1" x14ac:dyDescent="0.2">
      <c r="A23" s="32"/>
      <c r="C23" s="64" t="s">
        <v>63</v>
      </c>
      <c r="D23" s="38" t="s">
        <v>73</v>
      </c>
      <c r="E23" s="38" t="s">
        <v>74</v>
      </c>
      <c r="F23" s="71" t="s">
        <v>75</v>
      </c>
      <c r="G23" s="38" t="s">
        <v>76</v>
      </c>
      <c r="H23" s="72" t="s">
        <v>77</v>
      </c>
      <c r="I23" s="72" t="str">
        <f>IF("THB"&lt;&gt;"JPY","JPY 3,834.00","")</f>
        <v>JPY 3,834.00</v>
      </c>
      <c r="J23" s="65" t="s">
        <v>69</v>
      </c>
      <c r="K23" s="75" t="s">
        <v>78</v>
      </c>
      <c r="L23" s="38" t="s">
        <v>79</v>
      </c>
      <c r="M23" s="72" t="s">
        <v>72</v>
      </c>
      <c r="N23" s="39"/>
      <c r="O23" s="65" t="str">
        <f t="shared" si="0"/>
        <v>JPY 0.00</v>
      </c>
      <c r="P23" s="38" t="s">
        <v>69</v>
      </c>
      <c r="Q23" s="83">
        <f>INT("3,834.00") - INT("0.00")</f>
        <v>3834</v>
      </c>
      <c r="R23" s="84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18" customFormat="1" ht="25.5" customHeight="1" x14ac:dyDescent="0.2">
      <c r="A24" s="32"/>
      <c r="C24" s="64" t="s">
        <v>63</v>
      </c>
      <c r="D24" s="38" t="s">
        <v>80</v>
      </c>
      <c r="E24" s="38" t="s">
        <v>81</v>
      </c>
      <c r="F24" s="71" t="s">
        <v>75</v>
      </c>
      <c r="G24" s="38" t="s">
        <v>82</v>
      </c>
      <c r="H24" s="72" t="s">
        <v>83</v>
      </c>
      <c r="I24" s="72" t="str">
        <f>IF("THB"&lt;&gt;"JPY","JPY 23,004.00","")</f>
        <v>JPY 23,004.00</v>
      </c>
      <c r="J24" s="65" t="s">
        <v>69</v>
      </c>
      <c r="K24" s="75" t="s">
        <v>78</v>
      </c>
      <c r="L24" s="38" t="s">
        <v>84</v>
      </c>
      <c r="M24" s="72" t="s">
        <v>72</v>
      </c>
      <c r="N24" s="39"/>
      <c r="O24" s="65" t="str">
        <f t="shared" si="0"/>
        <v>JPY 0.00</v>
      </c>
      <c r="P24" s="38" t="s">
        <v>69</v>
      </c>
      <c r="Q24" s="83">
        <f>INT("23,004.00") - INT("0.00")</f>
        <v>23004</v>
      </c>
      <c r="R24" s="8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s="18" customFormat="1" ht="25.5" customHeight="1" x14ac:dyDescent="0.2">
      <c r="A25" s="32"/>
      <c r="C25" s="64" t="s">
        <v>63</v>
      </c>
      <c r="D25" s="38" t="s">
        <v>85</v>
      </c>
      <c r="E25" s="38" t="s">
        <v>86</v>
      </c>
      <c r="F25" s="71" t="s">
        <v>75</v>
      </c>
      <c r="G25" s="38" t="s">
        <v>87</v>
      </c>
      <c r="H25" s="72" t="s">
        <v>88</v>
      </c>
      <c r="I25" s="72" t="str">
        <f>IF("THB"&lt;&gt;"JPY","JPY 6,390.00","")</f>
        <v>JPY 6,390.00</v>
      </c>
      <c r="J25" s="65" t="s">
        <v>69</v>
      </c>
      <c r="K25" s="75" t="s">
        <v>78</v>
      </c>
      <c r="L25" s="38"/>
      <c r="M25" s="72" t="s">
        <v>72</v>
      </c>
      <c r="N25" s="39"/>
      <c r="O25" s="65" t="str">
        <f t="shared" si="0"/>
        <v>JPY 0.00</v>
      </c>
      <c r="P25" s="38" t="s">
        <v>69</v>
      </c>
      <c r="Q25" s="83">
        <f>INT("6,390.00") - INT("0.00")</f>
        <v>6390</v>
      </c>
      <c r="R25" s="84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18" customFormat="1" ht="12.75" customHeight="1" x14ac:dyDescent="0.2">
      <c r="A26" s="32"/>
      <c r="C26" s="64" t="s">
        <v>63</v>
      </c>
      <c r="D26" s="38" t="s">
        <v>89</v>
      </c>
      <c r="E26" s="38" t="s">
        <v>90</v>
      </c>
      <c r="F26" s="71" t="s">
        <v>66</v>
      </c>
      <c r="G26" s="38" t="s">
        <v>91</v>
      </c>
      <c r="H26" s="72" t="s">
        <v>92</v>
      </c>
      <c r="I26" s="72" t="str">
        <f>IF("THB"&lt;&gt;"JPY","JPY 4,558.00","")</f>
        <v>JPY 4,558.00</v>
      </c>
      <c r="J26" s="65" t="s">
        <v>69</v>
      </c>
      <c r="K26" s="75" t="s">
        <v>70</v>
      </c>
      <c r="L26" s="38" t="s">
        <v>93</v>
      </c>
      <c r="M26" s="72" t="s">
        <v>72</v>
      </c>
      <c r="N26" s="39"/>
      <c r="O26" s="65" t="str">
        <f t="shared" si="0"/>
        <v>JPY 0.00</v>
      </c>
      <c r="P26" s="38" t="s">
        <v>69</v>
      </c>
      <c r="Q26" s="83">
        <f>INT("4,558.00") - INT("0.00")</f>
        <v>4558</v>
      </c>
      <c r="R26" s="84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18" customFormat="1" ht="25.5" customHeight="1" x14ac:dyDescent="0.2">
      <c r="A27" s="32"/>
      <c r="C27" s="64" t="s">
        <v>63</v>
      </c>
      <c r="D27" s="38" t="s">
        <v>94</v>
      </c>
      <c r="E27" s="38" t="s">
        <v>95</v>
      </c>
      <c r="F27" s="71" t="s">
        <v>75</v>
      </c>
      <c r="G27" s="38" t="s">
        <v>96</v>
      </c>
      <c r="H27" s="72" t="s">
        <v>97</v>
      </c>
      <c r="I27" s="72" t="str">
        <f>IF("THB"&lt;&gt;"JPY","JPY 1,627.00","")</f>
        <v>JPY 1,627.00</v>
      </c>
      <c r="J27" s="65" t="s">
        <v>69</v>
      </c>
      <c r="K27" s="75" t="s">
        <v>78</v>
      </c>
      <c r="L27" s="38" t="s">
        <v>98</v>
      </c>
      <c r="M27" s="72" t="s">
        <v>72</v>
      </c>
      <c r="N27" s="39"/>
      <c r="O27" s="65" t="str">
        <f t="shared" si="0"/>
        <v>JPY 0.00</v>
      </c>
      <c r="P27" s="38" t="s">
        <v>69</v>
      </c>
      <c r="Q27" s="83">
        <f>INT("1,627.00") - INT("0.00")</f>
        <v>1627</v>
      </c>
      <c r="R27" s="84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s="18" customFormat="1" ht="25.5" customHeight="1" x14ac:dyDescent="0.2">
      <c r="A28" s="32"/>
      <c r="C28" s="64" t="s">
        <v>63</v>
      </c>
      <c r="D28" s="38" t="s">
        <v>99</v>
      </c>
      <c r="E28" s="38" t="s">
        <v>100</v>
      </c>
      <c r="F28" s="71" t="s">
        <v>75</v>
      </c>
      <c r="G28" s="38" t="s">
        <v>101</v>
      </c>
      <c r="H28" s="72" t="s">
        <v>102</v>
      </c>
      <c r="I28" s="72" t="str">
        <f>IF("THB"&lt;&gt;"JPY","JPY 554.00","")</f>
        <v>JPY 554.00</v>
      </c>
      <c r="J28" s="65" t="s">
        <v>69</v>
      </c>
      <c r="K28" s="75" t="s">
        <v>78</v>
      </c>
      <c r="L28" s="38" t="s">
        <v>103</v>
      </c>
      <c r="M28" s="72" t="s">
        <v>72</v>
      </c>
      <c r="N28" s="39"/>
      <c r="O28" s="65" t="str">
        <f t="shared" si="0"/>
        <v>JPY 0.00</v>
      </c>
      <c r="P28" s="38" t="s">
        <v>69</v>
      </c>
      <c r="Q28" s="83">
        <f>INT("554.00") - INT("0.00")</f>
        <v>554</v>
      </c>
      <c r="R28" s="84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s="18" customFormat="1" ht="25.5" customHeight="1" x14ac:dyDescent="0.2">
      <c r="A29" s="32"/>
      <c r="C29" s="64" t="s">
        <v>63</v>
      </c>
      <c r="D29" s="38" t="s">
        <v>104</v>
      </c>
      <c r="E29" s="38" t="s">
        <v>105</v>
      </c>
      <c r="F29" s="71" t="s">
        <v>75</v>
      </c>
      <c r="G29" s="38" t="s">
        <v>106</v>
      </c>
      <c r="H29" s="72" t="s">
        <v>107</v>
      </c>
      <c r="I29" s="72" t="str">
        <f>IF("THB"&lt;&gt;"JPY","JPY 1,278.00","")</f>
        <v>JPY 1,278.00</v>
      </c>
      <c r="J29" s="65" t="s">
        <v>69</v>
      </c>
      <c r="K29" s="75" t="s">
        <v>78</v>
      </c>
      <c r="L29" s="38" t="s">
        <v>108</v>
      </c>
      <c r="M29" s="72" t="s">
        <v>72</v>
      </c>
      <c r="N29" s="39"/>
      <c r="O29" s="65" t="str">
        <f t="shared" si="0"/>
        <v>JPY 0.00</v>
      </c>
      <c r="P29" s="38" t="s">
        <v>69</v>
      </c>
      <c r="Q29" s="83">
        <f>INT("1,278.00") - INT("0.00")</f>
        <v>1278</v>
      </c>
      <c r="R29" s="84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s="18" customFormat="1" ht="25.5" customHeight="1" x14ac:dyDescent="0.2">
      <c r="A30" s="32"/>
      <c r="C30" s="64" t="s">
        <v>63</v>
      </c>
      <c r="D30" s="38" t="s">
        <v>109</v>
      </c>
      <c r="E30" s="38" t="s">
        <v>110</v>
      </c>
      <c r="F30" s="71" t="s">
        <v>75</v>
      </c>
      <c r="G30" s="38" t="s">
        <v>111</v>
      </c>
      <c r="H30" s="72" t="s">
        <v>112</v>
      </c>
      <c r="I30" s="72" t="str">
        <f>IF("USD"&lt;&gt;"JPY","JPY 7,279.00","")</f>
        <v>JPY 7,279.00</v>
      </c>
      <c r="J30" s="65" t="s">
        <v>69</v>
      </c>
      <c r="K30" s="75" t="s">
        <v>78</v>
      </c>
      <c r="L30" s="38" t="s">
        <v>113</v>
      </c>
      <c r="M30" s="72" t="s">
        <v>114</v>
      </c>
      <c r="N30" s="39"/>
      <c r="O30" s="65" t="str">
        <f>IF("USD"&lt;&gt;"JPY","JPY 0.00","")</f>
        <v>JPY 0.00</v>
      </c>
      <c r="P30" s="38" t="s">
        <v>69</v>
      </c>
      <c r="Q30" s="83">
        <f>INT("7,279.00") - INT("0.00")</f>
        <v>7279</v>
      </c>
      <c r="R30" s="84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s="18" customFormat="1" ht="25.5" customHeight="1" x14ac:dyDescent="0.2">
      <c r="A31" s="32"/>
      <c r="C31" s="64" t="s">
        <v>63</v>
      </c>
      <c r="D31" s="38" t="s">
        <v>115</v>
      </c>
      <c r="E31" s="38" t="s">
        <v>116</v>
      </c>
      <c r="F31" s="71" t="s">
        <v>75</v>
      </c>
      <c r="G31" s="38" t="s">
        <v>91</v>
      </c>
      <c r="H31" s="72" t="s">
        <v>92</v>
      </c>
      <c r="I31" s="72" t="str">
        <f>IF("THB"&lt;&gt;"JPY","JPY 4,558.00","")</f>
        <v>JPY 4,558.00</v>
      </c>
      <c r="J31" s="65" t="s">
        <v>69</v>
      </c>
      <c r="K31" s="75" t="s">
        <v>78</v>
      </c>
      <c r="L31" s="38" t="s">
        <v>93</v>
      </c>
      <c r="M31" s="72" t="s">
        <v>72</v>
      </c>
      <c r="N31" s="39"/>
      <c r="O31" s="65" t="str">
        <f>IF("THB"&lt;&gt;"JPY","JPY 0.00","")</f>
        <v>JPY 0.00</v>
      </c>
      <c r="P31" s="38" t="s">
        <v>69</v>
      </c>
      <c r="Q31" s="83">
        <f>INT("4,558.00") - INT("0.00")</f>
        <v>4558</v>
      </c>
      <c r="R31" s="84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s="18" customFormat="1" ht="25.5" customHeight="1" x14ac:dyDescent="0.2">
      <c r="A32" s="32"/>
      <c r="C32" s="64" t="s">
        <v>63</v>
      </c>
      <c r="D32" s="38" t="s">
        <v>117</v>
      </c>
      <c r="E32" s="38" t="s">
        <v>118</v>
      </c>
      <c r="F32" s="71" t="s">
        <v>75</v>
      </c>
      <c r="G32" s="38" t="s">
        <v>119</v>
      </c>
      <c r="H32" s="72" t="s">
        <v>120</v>
      </c>
      <c r="I32" s="72" t="str">
        <f>IF("THB"&lt;&gt;"JPY","JPY 18,318.00","")</f>
        <v>JPY 18,318.00</v>
      </c>
      <c r="J32" s="65" t="s">
        <v>69</v>
      </c>
      <c r="K32" s="75" t="s">
        <v>78</v>
      </c>
      <c r="L32" s="38" t="s">
        <v>121</v>
      </c>
      <c r="M32" s="72" t="s">
        <v>72</v>
      </c>
      <c r="N32" s="39"/>
      <c r="O32" s="65" t="str">
        <f>IF("THB"&lt;&gt;"JPY","JPY 0.00","")</f>
        <v>JPY 0.00</v>
      </c>
      <c r="P32" s="38" t="s">
        <v>69</v>
      </c>
      <c r="Q32" s="83">
        <f>INT("18,318.00") - INT("0.00")</f>
        <v>18318</v>
      </c>
      <c r="R32" s="84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2" s="18" customFormat="1" ht="12.75" customHeight="1" x14ac:dyDescent="0.2">
      <c r="A33" s="32"/>
      <c r="C33" s="64" t="s">
        <v>63</v>
      </c>
      <c r="D33" s="38" t="s">
        <v>122</v>
      </c>
      <c r="E33" s="38" t="s">
        <v>123</v>
      </c>
      <c r="F33" s="71" t="s">
        <v>174</v>
      </c>
      <c r="G33" s="38" t="s">
        <v>87</v>
      </c>
      <c r="H33" s="72" t="s">
        <v>124</v>
      </c>
      <c r="I33" s="72" t="str">
        <f>IF("THB"&lt;&gt;"JPY","JPY 1,879.00","")</f>
        <v>JPY 1,879.00</v>
      </c>
      <c r="J33" s="65" t="s">
        <v>69</v>
      </c>
      <c r="K33" s="75" t="s">
        <v>125</v>
      </c>
      <c r="L33" s="38"/>
      <c r="M33" s="72" t="s">
        <v>72</v>
      </c>
      <c r="N33" s="39"/>
      <c r="O33" s="65" t="str">
        <f>IF("THB"&lt;&gt;"JPY","JPY 0.00","")</f>
        <v>JPY 0.00</v>
      </c>
      <c r="P33" s="38" t="s">
        <v>69</v>
      </c>
      <c r="Q33" s="83">
        <f>INT("1,879.00") - INT("0.00")</f>
        <v>1879</v>
      </c>
      <c r="R33" s="84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s="18" customFormat="1" ht="12.75" customHeight="1" x14ac:dyDescent="0.2">
      <c r="A34" s="32"/>
      <c r="C34" s="64" t="s">
        <v>63</v>
      </c>
      <c r="D34" s="38" t="s">
        <v>126</v>
      </c>
      <c r="E34" s="38" t="s">
        <v>127</v>
      </c>
      <c r="F34" s="71" t="s">
        <v>174</v>
      </c>
      <c r="G34" s="38" t="s">
        <v>87</v>
      </c>
      <c r="H34" s="72" t="s">
        <v>128</v>
      </c>
      <c r="I34" s="72" t="str">
        <f>IF("JPY"&lt;&gt;"JPY","JPY 0.00","")</f>
        <v/>
      </c>
      <c r="J34" s="65" t="s">
        <v>69</v>
      </c>
      <c r="K34" s="75" t="s">
        <v>125</v>
      </c>
      <c r="L34" s="38"/>
      <c r="M34" s="72" t="s">
        <v>72</v>
      </c>
      <c r="N34" s="39"/>
      <c r="O34" s="65" t="str">
        <f>IF("THB"&lt;&gt;"JPY","JPY 0.00","")</f>
        <v>JPY 0.00</v>
      </c>
      <c r="P34" s="38" t="s">
        <v>69</v>
      </c>
      <c r="Q34" s="83">
        <f>INT("0.00") - INT("0.00")</f>
        <v>0</v>
      </c>
      <c r="R34" s="8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s="18" customFormat="1" ht="12.75" customHeight="1" x14ac:dyDescent="0.2">
      <c r="A35" s="32"/>
      <c r="C35" s="64"/>
      <c r="D35" s="38"/>
      <c r="E35" s="38"/>
      <c r="G35" s="71" t="s">
        <v>33</v>
      </c>
      <c r="H35" s="36" t="s">
        <v>129</v>
      </c>
      <c r="I35" s="71" t="s">
        <v>130</v>
      </c>
      <c r="J35" s="38"/>
      <c r="K35" s="64"/>
      <c r="L35" s="71" t="s">
        <v>33</v>
      </c>
      <c r="M35" s="36" t="s">
        <v>129</v>
      </c>
      <c r="N35" s="70"/>
      <c r="O35" s="36" t="s">
        <v>129</v>
      </c>
      <c r="P35" s="36"/>
      <c r="Q35" s="71"/>
      <c r="R35" s="66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s="18" customFormat="1" ht="12.75" customHeight="1" x14ac:dyDescent="0.2">
      <c r="A36" s="32"/>
      <c r="C36" s="67"/>
      <c r="D36" s="68"/>
      <c r="E36" s="68"/>
      <c r="F36" s="69"/>
      <c r="G36" s="53" t="s">
        <v>31</v>
      </c>
      <c r="H36" s="63" t="str">
        <f>"JPY "&amp;TEXT(
    ABS(
        INT("0.00") -
        INT("91,171.00")),
     "#,##0.00")</f>
        <v>JPY 91,171.00</v>
      </c>
      <c r="I36" s="68"/>
      <c r="J36" s="68"/>
      <c r="K36" s="67"/>
      <c r="L36" s="53" t="s">
        <v>31</v>
      </c>
      <c r="M36" s="63" t="str">
        <f>"JPY " &amp;
TEXT(
    ABS(
        INT("0.00") -
        INT("0.00")),
     "#,##0.00"
)</f>
        <v>JPY 0.00</v>
      </c>
      <c r="N36" s="70"/>
      <c r="O36" s="53"/>
      <c r="P36" s="76"/>
      <c r="Q36" s="81" t="str">
        <f>"JPY " &amp;
TEXT(
    ABS(
(
            INT("0.00") -
            INT("91,171.00")
        ) -
(
            INT("0.00") -
            INT("0.00")
        )),
     "#,##0.00"
)</f>
        <v>JPY 91,171.00</v>
      </c>
      <c r="R36" s="82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s="18" customFormat="1" ht="12.75" customHeight="1" x14ac:dyDescent="0.2">
      <c r="C37" s="73" t="s">
        <v>60</v>
      </c>
      <c r="D37" s="38"/>
      <c r="E37" s="38"/>
      <c r="F37" s="38"/>
      <c r="G37" s="45"/>
      <c r="H37" s="39"/>
      <c r="I37" s="45"/>
      <c r="J37" s="38"/>
      <c r="K37" s="73" t="s">
        <v>131</v>
      </c>
      <c r="L37" s="38"/>
      <c r="M37" s="45"/>
      <c r="N37" s="39"/>
      <c r="O37" s="45"/>
      <c r="P37" s="38"/>
      <c r="Q37" s="38"/>
      <c r="R37" s="66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18" customFormat="1" ht="12.75" customHeight="1" x14ac:dyDescent="0.2">
      <c r="C38" s="73" t="s">
        <v>62</v>
      </c>
      <c r="D38" s="38"/>
      <c r="E38" s="38"/>
      <c r="F38" s="38"/>
      <c r="G38" s="45"/>
      <c r="H38" s="39"/>
      <c r="I38" s="45"/>
      <c r="J38" s="38"/>
      <c r="K38" s="73" t="s">
        <v>61</v>
      </c>
      <c r="L38" s="38"/>
      <c r="M38" s="45"/>
      <c r="N38" s="39"/>
      <c r="O38" s="45"/>
      <c r="P38" s="38"/>
      <c r="Q38" s="38"/>
      <c r="R38" s="66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s="18" customFormat="1" ht="12.75" customHeight="1" x14ac:dyDescent="0.2">
      <c r="A39" s="32"/>
      <c r="C39" s="64" t="s">
        <v>132</v>
      </c>
      <c r="D39" s="38" t="s">
        <v>133</v>
      </c>
      <c r="E39" s="38" t="s">
        <v>134</v>
      </c>
      <c r="F39" s="71" t="s">
        <v>174</v>
      </c>
      <c r="G39" s="38" t="s">
        <v>87</v>
      </c>
      <c r="H39" s="72" t="s">
        <v>128</v>
      </c>
      <c r="I39" s="72" t="str">
        <f>IF("JPY"&lt;&gt;"JPY","JPY 0.00","")</f>
        <v/>
      </c>
      <c r="J39" s="65" t="s">
        <v>135</v>
      </c>
      <c r="K39" s="75" t="s">
        <v>125</v>
      </c>
      <c r="L39" s="38"/>
      <c r="M39" s="72" t="s">
        <v>114</v>
      </c>
      <c r="N39" s="39"/>
      <c r="O39" s="65" t="str">
        <f>IF("USD"&lt;&gt;"JPY","JPY 0.00","")</f>
        <v>JPY 0.00</v>
      </c>
      <c r="P39" s="38" t="s">
        <v>135</v>
      </c>
      <c r="Q39" s="83">
        <f>INT("0.00") - INT("0.00")</f>
        <v>0</v>
      </c>
      <c r="R39" s="84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s="18" customFormat="1" ht="12.75" customHeight="1" x14ac:dyDescent="0.2">
      <c r="A40" s="32"/>
      <c r="C40" s="64" t="s">
        <v>132</v>
      </c>
      <c r="D40" s="38" t="s">
        <v>136</v>
      </c>
      <c r="E40" s="38" t="s">
        <v>137</v>
      </c>
      <c r="F40" s="71" t="s">
        <v>66</v>
      </c>
      <c r="G40" s="38" t="s">
        <v>87</v>
      </c>
      <c r="H40" s="72" t="s">
        <v>138</v>
      </c>
      <c r="I40" s="72" t="str">
        <f>IF("USD"&lt;&gt;"JPY","JPY 14,557.00","")</f>
        <v>JPY 14,557.00</v>
      </c>
      <c r="J40" s="65" t="s">
        <v>135</v>
      </c>
      <c r="K40" s="75" t="s">
        <v>70</v>
      </c>
      <c r="L40" s="38"/>
      <c r="M40" s="72" t="s">
        <v>138</v>
      </c>
      <c r="N40" s="39"/>
      <c r="O40" s="65" t="str">
        <f>IF("USD"&lt;&gt;"JPY","JPY 14,557.00","")</f>
        <v>JPY 14,557.00</v>
      </c>
      <c r="P40" s="38" t="s">
        <v>135</v>
      </c>
      <c r="Q40" s="83">
        <f>INT("14,557.00") - INT("14,557.00")</f>
        <v>0</v>
      </c>
      <c r="R40" s="84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s="18" customFormat="1" ht="25.5" customHeight="1" x14ac:dyDescent="0.2">
      <c r="A41" s="32"/>
      <c r="C41" s="64" t="s">
        <v>132</v>
      </c>
      <c r="D41" s="38" t="s">
        <v>139</v>
      </c>
      <c r="E41" s="38" t="s">
        <v>140</v>
      </c>
      <c r="F41" s="71" t="s">
        <v>75</v>
      </c>
      <c r="G41" s="38" t="s">
        <v>141</v>
      </c>
      <c r="H41" s="72" t="s">
        <v>142</v>
      </c>
      <c r="I41" s="72" t="str">
        <f>IF("USD"&lt;&gt;"JPY","JPY 65,507.00","")</f>
        <v>JPY 65,507.00</v>
      </c>
      <c r="J41" s="65" t="s">
        <v>135</v>
      </c>
      <c r="K41" s="75" t="s">
        <v>78</v>
      </c>
      <c r="L41" s="38" t="s">
        <v>143</v>
      </c>
      <c r="M41" s="72" t="s">
        <v>144</v>
      </c>
      <c r="N41" s="39"/>
      <c r="O41" s="65" t="str">
        <f>IF("USD"&lt;&gt;"JPY","JPY 29,114.00","")</f>
        <v>JPY 29,114.00</v>
      </c>
      <c r="P41" s="38" t="s">
        <v>135</v>
      </c>
      <c r="Q41" s="83">
        <f>INT("65,507.00") - INT("29,114.00")</f>
        <v>36393</v>
      </c>
      <c r="R41" s="84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s="18" customFormat="1" ht="12.75" customHeight="1" x14ac:dyDescent="0.2">
      <c r="A42" s="32"/>
      <c r="C42" s="64"/>
      <c r="D42" s="38"/>
      <c r="E42" s="38"/>
      <c r="G42" s="71" t="s">
        <v>33</v>
      </c>
      <c r="H42" s="36" t="s">
        <v>129</v>
      </c>
      <c r="I42" s="71" t="s">
        <v>145</v>
      </c>
      <c r="J42" s="38"/>
      <c r="K42" s="64"/>
      <c r="L42" s="71" t="s">
        <v>33</v>
      </c>
      <c r="M42" s="36" t="s">
        <v>129</v>
      </c>
      <c r="N42" s="70"/>
      <c r="O42" s="36" t="s">
        <v>146</v>
      </c>
      <c r="P42" s="36"/>
      <c r="Q42" s="71"/>
      <c r="R42" s="66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2" s="18" customFormat="1" ht="12.75" customHeight="1" x14ac:dyDescent="0.2">
      <c r="A43" s="32"/>
      <c r="C43" s="67"/>
      <c r="D43" s="68"/>
      <c r="E43" s="68"/>
      <c r="F43" s="69"/>
      <c r="G43" s="53" t="s">
        <v>31</v>
      </c>
      <c r="H43" s="63" t="str">
        <f>"JPY "&amp;TEXT(
    ABS(
        INT("0.00") -
        INT("80,064.00")),
     "#,##0.00")</f>
        <v>JPY 80,064.00</v>
      </c>
      <c r="I43" s="68"/>
      <c r="J43" s="68"/>
      <c r="K43" s="67"/>
      <c r="L43" s="53" t="s">
        <v>31</v>
      </c>
      <c r="M43" s="63" t="str">
        <f>"JPY " &amp;
TEXT(
    ABS(
        INT("0.00") -
        INT("43,671.00")),
     "#,##0.00"
)</f>
        <v>JPY 43,671.00</v>
      </c>
      <c r="N43" s="70"/>
      <c r="O43" s="53"/>
      <c r="P43" s="76"/>
      <c r="Q43" s="81" t="str">
        <f>"JPY " &amp;
TEXT(
    ABS(
(
            INT("0.00") -
            INT("80,064.00")
        ) -
(
            INT("0.00") -
            INT("43,671.00")
        )),
     "#,##0.00"
)</f>
        <v>JPY 36,393.00</v>
      </c>
      <c r="R43" s="82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1:52" s="18" customFormat="1" ht="12.75" customHeight="1" x14ac:dyDescent="0.2">
      <c r="C44" s="73" t="s">
        <v>60</v>
      </c>
      <c r="D44" s="38"/>
      <c r="E44" s="38"/>
      <c r="F44" s="38"/>
      <c r="G44" s="45"/>
      <c r="H44" s="39"/>
      <c r="I44" s="45"/>
      <c r="J44" s="38"/>
      <c r="K44" s="73" t="s">
        <v>147</v>
      </c>
      <c r="L44" s="38"/>
      <c r="M44" s="45"/>
      <c r="N44" s="39"/>
      <c r="O44" s="45"/>
      <c r="P44" s="38"/>
      <c r="Q44" s="38"/>
      <c r="R44" s="66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2" s="18" customFormat="1" ht="12.75" customHeight="1" x14ac:dyDescent="0.2">
      <c r="C45" s="73" t="s">
        <v>62</v>
      </c>
      <c r="D45" s="38"/>
      <c r="E45" s="38"/>
      <c r="F45" s="38"/>
      <c r="G45" s="45"/>
      <c r="H45" s="39"/>
      <c r="I45" s="45"/>
      <c r="J45" s="38"/>
      <c r="K45" s="73" t="s">
        <v>61</v>
      </c>
      <c r="L45" s="38"/>
      <c r="M45" s="45"/>
      <c r="N45" s="39"/>
      <c r="O45" s="45"/>
      <c r="P45" s="38"/>
      <c r="Q45" s="38"/>
      <c r="R45" s="66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2" s="18" customFormat="1" ht="25.5" customHeight="1" x14ac:dyDescent="0.2">
      <c r="A46" s="32"/>
      <c r="C46" s="64" t="s">
        <v>148</v>
      </c>
      <c r="D46" s="38" t="s">
        <v>149</v>
      </c>
      <c r="E46" s="38" t="s">
        <v>150</v>
      </c>
      <c r="F46" s="71" t="s">
        <v>75</v>
      </c>
      <c r="G46" s="38" t="s">
        <v>151</v>
      </c>
      <c r="H46" s="72" t="s">
        <v>152</v>
      </c>
      <c r="I46" s="72" t="str">
        <f>IF("JPY"&lt;&gt;"JPY","JPY 50,000.00","")</f>
        <v/>
      </c>
      <c r="J46" s="65" t="s">
        <v>135</v>
      </c>
      <c r="K46" s="75" t="s">
        <v>78</v>
      </c>
      <c r="L46" s="38" t="s">
        <v>153</v>
      </c>
      <c r="M46" s="72" t="s">
        <v>152</v>
      </c>
      <c r="N46" s="39"/>
      <c r="O46" s="65" t="str">
        <f>IF("JPY"&lt;&gt;"JPY","JPY 50,000.00","")</f>
        <v/>
      </c>
      <c r="P46" s="38" t="s">
        <v>135</v>
      </c>
      <c r="Q46" s="83">
        <f>INT("50,000.00") - INT("50,000.00")</f>
        <v>0</v>
      </c>
      <c r="R46" s="84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s="18" customFormat="1" ht="25.5" customHeight="1" x14ac:dyDescent="0.2">
      <c r="A47" s="32"/>
      <c r="C47" s="64" t="s">
        <v>148</v>
      </c>
      <c r="D47" s="38" t="s">
        <v>154</v>
      </c>
      <c r="E47" s="38" t="s">
        <v>155</v>
      </c>
      <c r="F47" s="71" t="s">
        <v>75</v>
      </c>
      <c r="G47" s="38" t="s">
        <v>156</v>
      </c>
      <c r="H47" s="72" t="s">
        <v>157</v>
      </c>
      <c r="I47" s="72" t="str">
        <f>IF("JPY"&lt;&gt;"JPY","JPY 900.00","")</f>
        <v/>
      </c>
      <c r="J47" s="65" t="s">
        <v>135</v>
      </c>
      <c r="K47" s="75" t="s">
        <v>78</v>
      </c>
      <c r="L47" s="38" t="s">
        <v>158</v>
      </c>
      <c r="M47" s="72" t="s">
        <v>157</v>
      </c>
      <c r="N47" s="39"/>
      <c r="O47" s="65" t="str">
        <f>IF("JPY"&lt;&gt;"JPY","JPY 900.00","")</f>
        <v/>
      </c>
      <c r="P47" s="38" t="s">
        <v>135</v>
      </c>
      <c r="Q47" s="83">
        <f>INT("900.00") - INT("900.00")</f>
        <v>0</v>
      </c>
      <c r="R47" s="84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2" s="18" customFormat="1" ht="12.75" customHeight="1" x14ac:dyDescent="0.2">
      <c r="A48" s="32"/>
      <c r="C48" s="64" t="s">
        <v>148</v>
      </c>
      <c r="D48" s="38" t="s">
        <v>159</v>
      </c>
      <c r="E48" s="38" t="s">
        <v>160</v>
      </c>
      <c r="F48" s="71" t="s">
        <v>161</v>
      </c>
      <c r="G48" s="38" t="s">
        <v>162</v>
      </c>
      <c r="H48" s="72" t="s">
        <v>163</v>
      </c>
      <c r="I48" s="72" t="str">
        <f>IF("JPY"&lt;&gt;"JPY","JPY 3,700.00","")</f>
        <v/>
      </c>
      <c r="J48" s="65" t="s">
        <v>164</v>
      </c>
      <c r="K48" s="75" t="s">
        <v>165</v>
      </c>
      <c r="L48" s="38" t="s">
        <v>166</v>
      </c>
      <c r="M48" s="72" t="s">
        <v>163</v>
      </c>
      <c r="N48" s="39"/>
      <c r="O48" s="65" t="str">
        <f>IF("JPY"&lt;&gt;"JPY","JPY 3,700.00","")</f>
        <v/>
      </c>
      <c r="P48" s="38" t="s">
        <v>164</v>
      </c>
      <c r="Q48" s="83">
        <f>INT("3,700.00") - INT("3,700.00")</f>
        <v>0</v>
      </c>
      <c r="R48" s="84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2" s="18" customFormat="1" ht="12.75" customHeight="1" x14ac:dyDescent="0.2">
      <c r="A49" s="32"/>
      <c r="C49" s="64" t="s">
        <v>148</v>
      </c>
      <c r="D49" s="38" t="s">
        <v>167</v>
      </c>
      <c r="E49" s="38" t="s">
        <v>168</v>
      </c>
      <c r="F49" s="71" t="s">
        <v>161</v>
      </c>
      <c r="G49" s="38" t="s">
        <v>169</v>
      </c>
      <c r="H49" s="72" t="s">
        <v>170</v>
      </c>
      <c r="I49" s="72" t="str">
        <f>IF("JPY"&lt;&gt;"JPY","JPY 200.00","")</f>
        <v/>
      </c>
      <c r="J49" s="65" t="s">
        <v>164</v>
      </c>
      <c r="K49" s="75" t="s">
        <v>165</v>
      </c>
      <c r="L49" s="38" t="s">
        <v>171</v>
      </c>
      <c r="M49" s="72" t="s">
        <v>128</v>
      </c>
      <c r="N49" s="39"/>
      <c r="O49" s="65" t="str">
        <f>IF("JPY"&lt;&gt;"JPY","JPY 0.00","")</f>
        <v/>
      </c>
      <c r="P49" s="38" t="s">
        <v>164</v>
      </c>
      <c r="Q49" s="83">
        <f>INT("200.00") - INT("0.00")</f>
        <v>200</v>
      </c>
      <c r="R49" s="84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s="18" customFormat="1" ht="12.75" customHeight="1" x14ac:dyDescent="0.2">
      <c r="A50" s="32"/>
      <c r="C50" s="64"/>
      <c r="D50" s="38"/>
      <c r="E50" s="38"/>
      <c r="G50" s="71" t="s">
        <v>33</v>
      </c>
      <c r="H50" s="36" t="s">
        <v>172</v>
      </c>
      <c r="I50" s="71" t="s">
        <v>129</v>
      </c>
      <c r="J50" s="38"/>
      <c r="K50" s="64"/>
      <c r="L50" s="71" t="s">
        <v>33</v>
      </c>
      <c r="M50" s="36" t="s">
        <v>173</v>
      </c>
      <c r="N50" s="70"/>
      <c r="O50" s="36" t="s">
        <v>129</v>
      </c>
      <c r="P50" s="36"/>
      <c r="Q50" s="71"/>
      <c r="R50" s="66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s="18" customFormat="1" ht="12.75" customHeight="1" x14ac:dyDescent="0.2">
      <c r="A51" s="32"/>
      <c r="C51" s="67"/>
      <c r="D51" s="68"/>
      <c r="E51" s="68"/>
      <c r="F51" s="69"/>
      <c r="G51" s="53" t="s">
        <v>31</v>
      </c>
      <c r="H51" s="63" t="str">
        <f>"JPY "&amp;TEXT(
    ABS(
        INT("54,800.00") -
        INT("0.00")),
     "#,##0.00")</f>
        <v>JPY 54,800.00</v>
      </c>
      <c r="I51" s="68"/>
      <c r="J51" s="68"/>
      <c r="K51" s="67"/>
      <c r="L51" s="53" t="s">
        <v>31</v>
      </c>
      <c r="M51" s="63" t="str">
        <f>"JPY " &amp;
TEXT(
    ABS(
        INT("54,600.00") -
        INT("0.00")),
     "#,##0.00"
)</f>
        <v>JPY 54,600.00</v>
      </c>
      <c r="N51" s="70"/>
      <c r="O51" s="53"/>
      <c r="P51" s="76"/>
      <c r="Q51" s="81" t="str">
        <f>"JPY " &amp;
TEXT(
    ABS(
(
            INT("54,800.00") -
            INT("0.00")
        ) -
(
            INT("54,600.00") -
            INT("0.00")
        )),
     "#,##0.00"
)</f>
        <v>JPY 200.00</v>
      </c>
      <c r="R51" s="82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ht="12.75" customHeight="1" x14ac:dyDescent="0.2"/>
    <row r="53" spans="1:52" ht="12.75" customHeight="1" x14ac:dyDescent="0.2">
      <c r="B53" s="37"/>
      <c r="AH53" s="51"/>
      <c r="AI53" s="51"/>
      <c r="AJ53" s="51"/>
      <c r="AK53" s="51"/>
      <c r="AL53" s="51"/>
    </row>
    <row r="54" spans="1:52" x14ac:dyDescent="0.2">
      <c r="H54" s="46"/>
      <c r="J54" s="46"/>
      <c r="K54" s="46"/>
      <c r="L54" s="46"/>
      <c r="N54" s="46"/>
    </row>
    <row r="55" spans="1:52" x14ac:dyDescent="0.2">
      <c r="H55" s="46"/>
      <c r="J55" s="46"/>
      <c r="K55" s="46"/>
      <c r="L55" s="46"/>
      <c r="N55" s="46"/>
    </row>
    <row r="56" spans="1:52" x14ac:dyDescent="0.2">
      <c r="H56" s="46"/>
      <c r="J56" s="46"/>
      <c r="K56" s="46"/>
      <c r="L56" s="46"/>
      <c r="N56" s="46"/>
    </row>
  </sheetData>
  <mergeCells count="71">
    <mergeCell ref="Q40:R40"/>
    <mergeCell ref="Q41:R41"/>
    <mergeCell ref="Q47:R47"/>
    <mergeCell ref="Q48:R48"/>
    <mergeCell ref="Q49:R49"/>
    <mergeCell ref="Q43:R43"/>
    <mergeCell ref="Q51:R51"/>
    <mergeCell ref="Q39:R39"/>
    <mergeCell ref="Q46:R46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6:R36"/>
    <mergeCell ref="O7:P7"/>
    <mergeCell ref="O8:P8"/>
    <mergeCell ref="Q7:R7"/>
    <mergeCell ref="Q8:R8"/>
    <mergeCell ref="Q22:R22"/>
    <mergeCell ref="C15:R15"/>
    <mergeCell ref="C16:R16"/>
    <mergeCell ref="C12:E12"/>
    <mergeCell ref="C11:E11"/>
    <mergeCell ref="Q19:R19"/>
    <mergeCell ref="Q17:R17"/>
    <mergeCell ref="O9:R9"/>
    <mergeCell ref="J7:K7"/>
    <mergeCell ref="J8:K8"/>
    <mergeCell ref="I10:K10"/>
    <mergeCell ref="C13:R13"/>
    <mergeCell ref="C14:R14"/>
    <mergeCell ref="O5:R5"/>
    <mergeCell ref="O6:R6"/>
    <mergeCell ref="C5:F5"/>
    <mergeCell ref="G5:J5"/>
    <mergeCell ref="K5:N5"/>
    <mergeCell ref="C6:F6"/>
    <mergeCell ref="G6:J6"/>
    <mergeCell ref="K6:N6"/>
    <mergeCell ref="O10:R10"/>
    <mergeCell ref="C9:E9"/>
    <mergeCell ref="C10:E10"/>
    <mergeCell ref="L9:N9"/>
    <mergeCell ref="L10:N10"/>
    <mergeCell ref="F9:H9"/>
    <mergeCell ref="F10:H10"/>
    <mergeCell ref="I9:K9"/>
    <mergeCell ref="F7:G7"/>
    <mergeCell ref="F8:G8"/>
    <mergeCell ref="H7:I7"/>
    <mergeCell ref="H8:I8"/>
    <mergeCell ref="L8:N8"/>
    <mergeCell ref="L7:N7"/>
    <mergeCell ref="F12:G12"/>
    <mergeCell ref="F11:G11"/>
    <mergeCell ref="H11:J11"/>
    <mergeCell ref="H12:J12"/>
    <mergeCell ref="Q11:R11"/>
    <mergeCell ref="Q12:R12"/>
    <mergeCell ref="K11:M11"/>
    <mergeCell ref="K12:M12"/>
    <mergeCell ref="N11:P11"/>
    <mergeCell ref="N12:P12"/>
  </mergeCells>
  <pageMargins left="0.39370078740157499" right="0.39370078740157499" top="0.39370078740157499" bottom="0.39370078740157499" header="0.39370078740157499" footer="0.196850393700787"/>
  <pageSetup paperSize="9" scale="18" fitToHeight="0" pageOrder="overThenDown" orientation="landscape" r:id="rId1"/>
  <headerFooter alignWithMargins="0">
    <oddHeader>&amp;R&amp;P / &amp;N</oddHeader>
  </headerFooter>
  <rowBreaks count="1" manualBreakCount="1"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5" sqref="C5"/>
    </sheetView>
  </sheetViews>
  <sheetFormatPr defaultColWidth="9.140625" defaultRowHeight="12.75" x14ac:dyDescent="0.2"/>
  <cols>
    <col min="1" max="1" width="31" bestFit="1" customWidth="1"/>
    <col min="2" max="2" width="13.7109375" customWidth="1"/>
    <col min="3" max="3" width="28.7109375" bestFit="1" customWidth="1"/>
    <col min="4" max="4" width="72.5703125" customWidth="1"/>
    <col min="5" max="6" width="62.42578125" customWidth="1"/>
  </cols>
  <sheetData>
    <row r="1" spans="1:4" x14ac:dyDescent="0.2">
      <c r="A1" s="23" t="s">
        <v>18</v>
      </c>
      <c r="B1" s="23" t="s">
        <v>0</v>
      </c>
      <c r="C1" s="23" t="s">
        <v>19</v>
      </c>
    </row>
    <row r="2" spans="1:4" ht="15" x14ac:dyDescent="0.2">
      <c r="B2" t="s">
        <v>21</v>
      </c>
      <c r="C2" s="23"/>
      <c r="D2" s="35"/>
    </row>
    <row r="4" spans="1:4" x14ac:dyDescent="0.2">
      <c r="A4" t="s">
        <v>1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1" sqref="B1"/>
    </sheetView>
  </sheetViews>
  <sheetFormatPr defaultColWidth="9.140625" defaultRowHeight="12.75" x14ac:dyDescent="0.2"/>
  <cols>
    <col min="1" max="1" width="12.42578125" bestFit="1" customWidth="1"/>
  </cols>
  <sheetData>
    <row r="1" spans="1:2" x14ac:dyDescent="0.2">
      <c r="A1" t="s">
        <v>15</v>
      </c>
      <c r="B1" t="s">
        <v>17</v>
      </c>
    </row>
    <row r="4" spans="1:2" x14ac:dyDescent="0.2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Line Report</vt:lpstr>
      <vt:lpstr>'Balance Line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2026-01-20T06:40:59Z</dcterms:created>
  <dcterms:modified xsi:type="dcterms:W3CDTF">2026-01-20T06:41:23Z</dcterms:modified>
</cp:coreProperties>
</file>